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tems" sheetId="2" state="visible" r:id="rId2"/>
    <sheet name="Scaling" sheetId="3" state="visible" r:id="rId3"/>
    <sheet name="Scenarios" sheetId="4" state="visible" r:id="rId4"/>
    <sheet name="CostStack" sheetId="5" state="visible" r:id="rId5"/>
    <sheet name="Sensitivity" sheetId="6" state="visible" r:id="rId6"/>
    <sheet name="BreakEven" sheetId="7" state="visible" r:id="rId7"/>
    <sheet name="Path" sheetId="8" state="visible" r:id="rId8"/>
    <sheet name="Capac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;($#,##0.00);-"/>
    <numFmt numFmtId="166" formatCode="$#,##0;($#,##0);-"/>
    <numFmt numFmtId="167" formatCode="$#,##0.0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8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4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4" fontId="4" fillId="3" borderId="0" pivotButton="0" quotePrefix="0" xfId="0"/>
    <xf numFmtId="0" fontId="5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165" fontId="4" fillId="3" borderId="1" pivotButton="0" quotePrefix="0" xfId="0"/>
    <xf numFmtId="164" fontId="5" fillId="0" borderId="1" pivotButton="0" quotePrefix="0" xfId="0"/>
    <xf numFmtId="165" fontId="3" fillId="0" borderId="0" pivotButton="0" quotePrefix="0" xfId="0"/>
    <xf numFmtId="164" fontId="3" fillId="0" borderId="0" pivotButton="0" quotePrefix="0" xfId="0"/>
    <xf numFmtId="0" fontId="3" fillId="0" borderId="1" pivotButton="0" quotePrefix="0" xfId="0"/>
    <xf numFmtId="4" fontId="5" fillId="0" borderId="1" pivotButton="0" quotePrefix="0" xfId="0"/>
    <xf numFmtId="166" fontId="5" fillId="0" borderId="1" pivotButton="0" quotePrefix="0" xfId="0"/>
    <xf numFmtId="166" fontId="5" fillId="0" borderId="0" pivotButton="0" quotePrefix="0" xfId="0"/>
    <xf numFmtId="164" fontId="5" fillId="0" borderId="0" pivotButton="0" quotePrefix="0" xfId="0"/>
    <xf numFmtId="167" fontId="5" fillId="0" borderId="0" pivotButton="0" quotePrefix="0" xfId="0"/>
    <xf numFmtId="165" fontId="4" fillId="3" borderId="0" pivotButton="0" quotePrefix="0" xfId="0"/>
    <xf numFmtId="4" fontId="4" fillId="0" borderId="1" pivotButton="0" quotePrefix="0" xfId="0"/>
    <xf numFmtId="164" fontId="4" fillId="3" borderId="0" pivotButton="0" quotePrefix="0" xfId="0"/>
    <xf numFmtId="4" fontId="3" fillId="0" borderId="0" pivotButton="0" quotePrefix="0" xfId="0"/>
    <xf numFmtId="4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60" customWidth="1" min="5" max="5"/>
  </cols>
  <sheetData>
    <row r="1">
      <c r="A1" s="1" t="inlineStr">
        <is>
          <t>WHOLESALE SCALING MODEL — Here &amp; There</t>
        </is>
      </c>
    </row>
    <row r="2">
      <c r="A2" s="2" t="inlineStr">
        <is>
          <t>Every blue cell is yours to change. Yellow = assumption with no source data behind it. Black = formula, don't type over it.</t>
        </is>
      </c>
    </row>
    <row r="4">
      <c r="A4" s="3" t="inlineStr">
        <is>
          <t>HOW TO USE</t>
        </is>
      </c>
    </row>
    <row r="5">
      <c r="A5" s="2" t="inlineStr">
        <is>
          <t>1. Set the three volume scenarios in B7:B9, then pick the active one in B11 (dropdown).</t>
        </is>
      </c>
    </row>
    <row r="6">
      <c r="A6" s="2" t="inlineStr">
        <is>
          <t>2. Set wholesale % of MSRP in B14. MSRPs live on the Items tab.</t>
        </is>
      </c>
    </row>
    <row r="7">
      <c r="A7" s="3" t="inlineStr">
        <is>
          <t>Bear — units/day per item</t>
        </is>
      </c>
      <c r="B7" s="4" t="n">
        <v>7</v>
      </c>
      <c r="C7" s="2" t="inlineStr">
        <is>
          <t>your bear case</t>
        </is>
      </c>
    </row>
    <row r="8">
      <c r="A8" s="3" t="inlineStr">
        <is>
          <t>Base — units/day per item</t>
        </is>
      </c>
      <c r="B8" s="4" t="n">
        <v>10</v>
      </c>
      <c r="C8" s="2" t="inlineStr">
        <is>
          <t>your base case</t>
        </is>
      </c>
    </row>
    <row r="9">
      <c r="A9" s="3" t="inlineStr">
        <is>
          <t>Bull — units/day per item</t>
        </is>
      </c>
      <c r="B9" s="4" t="n">
        <v>15</v>
      </c>
      <c r="C9" s="2" t="inlineStr">
        <is>
          <t>your bull case</t>
        </is>
      </c>
    </row>
    <row r="10">
      <c r="A10" s="5" t="inlineStr">
        <is>
          <t>VOLUME SCENARIOS  (units sold per day, per item)</t>
        </is>
      </c>
      <c r="B10" s="6" t="n"/>
      <c r="C10" s="6" t="n"/>
      <c r="D10" s="6" t="n"/>
      <c r="E10" s="6" t="n"/>
    </row>
    <row r="11">
      <c r="A11" s="3" t="inlineStr">
        <is>
          <t>ACTIVE SCENARIO</t>
        </is>
      </c>
      <c r="B11" s="7" t="inlineStr">
        <is>
          <t>Base</t>
        </is>
      </c>
    </row>
    <row r="12">
      <c r="A12" s="3" t="inlineStr">
        <is>
          <t>Units/day per item (active)</t>
        </is>
      </c>
      <c r="B12" s="8">
        <f>IF($B$11="Bear",$B$7,IF($B$11="Bull",$B$9,$B$8))</f>
        <v/>
      </c>
    </row>
    <row r="13">
      <c r="A13" s="5" t="inlineStr">
        <is>
          <t>PRICING</t>
        </is>
      </c>
      <c r="B13" s="6" t="n"/>
      <c r="C13" s="6" t="n"/>
      <c r="D13" s="6" t="n"/>
      <c r="E13" s="6" t="n"/>
    </row>
    <row r="14">
      <c r="A14" s="3" t="inlineStr">
        <is>
          <t>Wholesale price as % of MSRP</t>
        </is>
      </c>
      <c r="B14" s="9" t="n">
        <v>0.5</v>
      </c>
      <c r="C14" s="2" t="inlineStr">
        <is>
          <t>your instruction: wholesale at 50%</t>
        </is>
      </c>
    </row>
    <row r="16">
      <c r="A16" s="5" t="inlineStr">
        <is>
          <t>COST BASIS</t>
        </is>
      </c>
      <c r="B16" s="6" t="n"/>
      <c r="C16" s="6" t="n"/>
      <c r="D16" s="6" t="n"/>
      <c r="E16" s="6" t="n"/>
    </row>
    <row r="17">
      <c r="A17" s="3" t="inlineStr">
        <is>
          <t>Flat cost per unit (your $1 assumption)</t>
        </is>
      </c>
      <c r="B17" s="10" t="n">
        <v>1</v>
      </c>
    </row>
    <row r="18">
      <c r="A18" s="3" t="inlineStr">
        <is>
          <t>Cost basis</t>
        </is>
      </c>
      <c r="B18" s="7" t="inlineStr">
        <is>
          <t>Flat</t>
        </is>
      </c>
      <c r="C18" s="2" t="inlineStr">
        <is>
          <t>Flat = your $1.00 · Computed = real recipe + consumables</t>
        </is>
      </c>
    </row>
    <row r="19">
      <c r="A19" s="3" t="inlineStr">
        <is>
          <t>Computed materials + consumables / unit</t>
        </is>
      </c>
      <c r="B19" s="11">
        <f>CostStack!$D$83</f>
        <v/>
      </c>
      <c r="D19" s="2" t="inlineStr">
        <is>
          <t>Excludes labor and kitchen time — those are costed by the hour in Scaling, so there is no double-count either way you set B18.</t>
        </is>
      </c>
    </row>
    <row r="20">
      <c r="A20" s="3" t="inlineStr">
        <is>
          <t>Cost per unit in use</t>
        </is>
      </c>
      <c r="B20" s="12">
        <f>IF($B$18="Computed",$B$19,$B$17)</f>
        <v/>
      </c>
    </row>
    <row r="21">
      <c r="A21" s="3" t="inlineStr">
        <is>
          <t>Include labor + kitchen time cost?</t>
        </is>
      </c>
      <c r="B21" s="7" t="inlineStr">
        <is>
          <t>Yes</t>
        </is>
      </c>
      <c r="C21" s="2" t="inlineStr">
        <is>
          <t>No = you absorb your own time and already pay the kitchen anyway</t>
        </is>
      </c>
    </row>
    <row r="22">
      <c r="A22" s="3" t="inlineStr">
        <is>
          <t>Wholesale accounts (stores)</t>
        </is>
      </c>
      <c r="B22" s="13" t="n">
        <v>1</v>
      </c>
      <c r="C22" s="2" t="inlineStr">
        <is>
          <t>Here &amp; There = 1 today</t>
        </is>
      </c>
      <c r="D22" s="2" t="inlineStr">
        <is>
          <t>Units/day figures above are PER ITEM, PER ACCOUNT. More accounts fill the same batches; more SKUs at one account do not.</t>
        </is>
      </c>
    </row>
    <row r="23">
      <c r="A23" s="5" t="inlineStr">
        <is>
          <t>LABOR AND BAKE CONSTANTS  (from the Kairos app — real, not assumed)</t>
        </is>
      </c>
      <c r="B23" s="6" t="n"/>
      <c r="C23" s="6" t="n"/>
      <c r="D23" s="6" t="n"/>
      <c r="E23" s="6" t="n"/>
    </row>
    <row r="24">
      <c r="A24" s="3" t="inlineStr">
        <is>
          <t>Batch yield (units per batch)</t>
        </is>
      </c>
      <c r="B24" s="4" t="n">
        <v>20</v>
      </c>
      <c r="C24" s="2" t="inlineStr">
        <is>
          <t>BATCH_YIELD, data-entry-app/index.html</t>
        </is>
      </c>
    </row>
    <row r="25">
      <c r="A25" s="3" t="inlineStr">
        <is>
          <t>Setup (min, once per bake session)</t>
        </is>
      </c>
      <c r="B25" s="4" t="n">
        <v>20</v>
      </c>
      <c r="C25" s="2" t="inlineStr">
        <is>
          <t>SETUP_MIN</t>
        </is>
      </c>
    </row>
    <row r="26">
      <c r="A26" s="3" t="inlineStr">
        <is>
          <t>Prep per batch (min)</t>
        </is>
      </c>
      <c r="B26" s="4" t="n">
        <v>15</v>
      </c>
      <c r="C26" s="2" t="inlineStr">
        <is>
          <t>PREP_MIN</t>
        </is>
      </c>
    </row>
    <row r="27">
      <c r="A27" s="3" t="inlineStr">
        <is>
          <t>Bake per batch (min)</t>
        </is>
      </c>
      <c r="B27" s="4" t="n">
        <v>14</v>
      </c>
      <c r="C27" s="2" t="inlineStr">
        <is>
          <t>BAKE_MIN — single oven, glaze overlaps the bake</t>
        </is>
      </c>
    </row>
    <row r="28">
      <c r="A28" s="3" t="inlineStr">
        <is>
          <t>Labor wage ($/hour, loaded)</t>
        </is>
      </c>
      <c r="B28" s="10" t="n">
        <v>30</v>
      </c>
      <c r="C28" s="2" t="inlineStr">
        <is>
          <t>your figure</t>
        </is>
      </c>
    </row>
    <row r="29">
      <c r="A29" s="3" t="inlineStr">
        <is>
          <t>Commercial kitchen ($/hour)</t>
        </is>
      </c>
      <c r="B29" s="10" t="n">
        <v>50</v>
      </c>
      <c r="C29" s="2" t="inlineStr">
        <is>
          <t>your figure — charged on bake time, not per unit</t>
        </is>
      </c>
    </row>
    <row r="30">
      <c r="A30" s="3" t="inlineStr">
        <is>
          <t>Combined time cost ($/hour)</t>
        </is>
      </c>
      <c r="B30" s="12">
        <f>$B$28+$B$29</f>
        <v/>
      </c>
    </row>
    <row r="31">
      <c r="A31" s="3" t="inlineStr">
        <is>
          <t>Setup treatment</t>
        </is>
      </c>
      <c r="B31" s="7" t="inlineStr">
        <is>
          <t>Shared</t>
        </is>
      </c>
      <c r="C31" s="2" t="inlineStr">
        <is>
          <t>Per item = each SKU gets its own session. Shared = all SKUs in one session.</t>
        </is>
      </c>
    </row>
    <row r="32">
      <c r="A32" s="3" t="inlineStr">
        <is>
          <t>Bake sessions per week</t>
        </is>
      </c>
      <c r="B32" s="13" t="n">
        <v>3</v>
      </c>
      <c r="D32" s="2" t="inlineStr">
        <is>
          <t>THE BIGGEST LEVER. Baking 7x/week means tiny half-empty batches; 2-3x/week fills them and divides the setup across far more units.</t>
        </is>
      </c>
    </row>
    <row r="33">
      <c r="A33" s="5" t="inlineStr">
        <is>
          <t>CALENDAR</t>
        </is>
      </c>
      <c r="B33" s="6" t="n"/>
      <c r="C33" s="6" t="n"/>
      <c r="D33" s="6" t="n"/>
      <c r="E33" s="6" t="n"/>
    </row>
    <row r="34">
      <c r="A34" s="3" t="inlineStr">
        <is>
          <t>Operating days per week</t>
        </is>
      </c>
      <c r="B34" s="4" t="n">
        <v>7</v>
      </c>
    </row>
    <row r="35">
      <c r="A35" s="3" t="inlineStr">
        <is>
          <t>Days per year</t>
        </is>
      </c>
      <c r="B35" s="8">
        <f>$B$34*52</f>
        <v/>
      </c>
    </row>
    <row r="36">
      <c r="A36" s="3" t="inlineStr">
        <is>
          <t>Days per month</t>
        </is>
      </c>
      <c r="B36" s="8">
        <f>$B$35/12</f>
        <v/>
      </c>
    </row>
    <row r="38">
      <c r="A38" s="5" t="inlineStr">
        <is>
          <t>REALITY CHECKS  (measured, for context — these do not feed the model)</t>
        </is>
      </c>
      <c r="B38" s="6" t="n"/>
      <c r="C38" s="6" t="n"/>
      <c r="D38" s="6" t="n"/>
      <c r="E38" s="6" t="n"/>
    </row>
    <row r="39">
      <c r="A39" s="14" t="inlineStr">
        <is>
          <t>Madeleine retail price observed</t>
        </is>
      </c>
      <c r="B39" s="10" t="n">
        <v>4.5</v>
      </c>
      <c r="C39" s="2" t="inlineStr">
        <is>
          <t>median of 76 single-madeleine LM receipts</t>
        </is>
      </c>
    </row>
    <row r="40">
      <c r="A40" s="14" t="inlineStr">
        <is>
          <t>App's stored madeleine price</t>
        </is>
      </c>
      <c r="B40" s="10" t="n">
        <v>2.5</v>
      </c>
      <c r="C40" s="2" t="inlineStr">
        <is>
          <t>push_store_stats.py PRICE — equals 50% of a $5 MSRP</t>
        </is>
      </c>
    </row>
    <row r="41">
      <c r="A41" s="14" t="inlineStr">
        <is>
          <t>LM madeleines/day, Aug 1-7</t>
        </is>
      </c>
      <c r="B41" s="4" t="n">
        <v>8.699999999999999</v>
      </c>
      <c r="C41" s="2" t="inlineStr">
        <is>
          <t>Store Sales tab</t>
        </is>
      </c>
    </row>
    <row r="42">
      <c r="A42" s="14" t="inlineStr">
        <is>
          <t>LM store transactions/day, Aug 1-7</t>
        </is>
      </c>
      <c r="B42" s="4" t="n">
        <v>233</v>
      </c>
      <c r="C42" s="2" t="inlineStr">
        <is>
          <t>Store Sales tab</t>
        </is>
      </c>
    </row>
  </sheetData>
  <dataValidations count="4">
    <dataValidation sqref="B11" showDropDown="0" showInputMessage="0" showErrorMessage="0" allowBlank="0" type="list">
      <formula1>"Bear,Base,Bull"</formula1>
    </dataValidation>
    <dataValidation sqref="B18" showDropDown="0" showInputMessage="0" showErrorMessage="0" allowBlank="0" type="list">
      <formula1>"Flat,Computed"</formula1>
    </dataValidation>
    <dataValidation sqref="B21" showDropDown="0" showInputMessage="0" showErrorMessage="0" allowBlank="0" type="list">
      <formula1>"Yes,No"</formula1>
    </dataValidation>
    <dataValidation sqref="B31" showDropDown="0" showInputMessage="0" showErrorMessage="0" allowBlank="0" type="list">
      <formula1>"Per item,Shared"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4" customWidth="1" min="4" max="4"/>
    <col width="16" customWidth="1" min="5" max="5"/>
    <col width="16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ITEMS</t>
        </is>
      </c>
    </row>
    <row r="2">
      <c r="A2" s="2" t="inlineStr">
        <is>
          <t>MSRPs are yours. Wholesale = MSRP x Inputs!B14. Override a single item's cost in column E; leave blank to use the global basis.</t>
        </is>
      </c>
    </row>
    <row r="4" ht="28" customHeight="1">
      <c r="A4" s="15" t="inlineStr">
        <is>
          <t>#</t>
        </is>
      </c>
      <c r="B4" s="15" t="inlineStr">
        <is>
          <t>Item</t>
        </is>
      </c>
      <c r="C4" s="15" t="inlineStr">
        <is>
          <t>MSRP</t>
        </is>
      </c>
      <c r="D4" s="15" t="inlineStr">
        <is>
          <t>Wholesale $</t>
        </is>
      </c>
      <c r="E4" s="15" t="inlineStr">
        <is>
          <t>Cost override</t>
        </is>
      </c>
      <c r="F4" s="15" t="inlineStr">
        <is>
          <t>Cost used $/unit</t>
        </is>
      </c>
      <c r="G4" s="15" t="inlineStr">
        <is>
          <t>Margin $/unit</t>
        </is>
      </c>
      <c r="H4" s="15" t="inlineStr">
        <is>
          <t>Margin %</t>
        </is>
      </c>
      <c r="I4" s="15" t="inlineStr">
        <is>
          <t>Cum. wholesale $</t>
        </is>
      </c>
      <c r="J4" s="15" t="inlineStr">
        <is>
          <t>Cum. cost $</t>
        </is>
      </c>
    </row>
    <row r="5">
      <c r="A5" s="16" t="n">
        <v>1</v>
      </c>
      <c r="B5" s="17" t="inlineStr">
        <is>
          <t>Item 1</t>
        </is>
      </c>
      <c r="C5" s="18" t="n">
        <v>5</v>
      </c>
      <c r="D5" s="19">
        <f>$C5*Inputs!$B$14</f>
        <v/>
      </c>
      <c r="E5" s="20" t="n"/>
      <c r="F5" s="19">
        <f>IF(ISNUMBER($E5),$E5,Inputs!$B$20)</f>
        <v/>
      </c>
      <c r="G5" s="19">
        <f>$D5-$F5</f>
        <v/>
      </c>
      <c r="H5" s="21">
        <f>IFERROR($G5/$D5,0)</f>
        <v/>
      </c>
      <c r="I5" s="19">
        <f>SUM($D$5:$D5)</f>
        <v/>
      </c>
      <c r="J5" s="19">
        <f>SUM($F$5:$F5)</f>
        <v/>
      </c>
    </row>
    <row r="6">
      <c r="A6" s="16" t="n">
        <v>2</v>
      </c>
      <c r="B6" s="17" t="inlineStr">
        <is>
          <t>Item 2</t>
        </is>
      </c>
      <c r="C6" s="18" t="n">
        <v>7</v>
      </c>
      <c r="D6" s="19">
        <f>$C6*Inputs!$B$14</f>
        <v/>
      </c>
      <c r="E6" s="20" t="n"/>
      <c r="F6" s="19">
        <f>IF(ISNUMBER($E6),$E6,Inputs!$B$20)</f>
        <v/>
      </c>
      <c r="G6" s="19">
        <f>$D6-$F6</f>
        <v/>
      </c>
      <c r="H6" s="21">
        <f>IFERROR($G6/$D6,0)</f>
        <v/>
      </c>
      <c r="I6" s="19">
        <f>SUM($D$5:$D6)</f>
        <v/>
      </c>
      <c r="J6" s="19">
        <f>SUM($F$5:$F6)</f>
        <v/>
      </c>
    </row>
    <row r="7">
      <c r="A7" s="16" t="n">
        <v>3</v>
      </c>
      <c r="B7" s="17" t="inlineStr">
        <is>
          <t>Item 3</t>
        </is>
      </c>
      <c r="C7" s="18" t="n">
        <v>6</v>
      </c>
      <c r="D7" s="19">
        <f>$C7*Inputs!$B$14</f>
        <v/>
      </c>
      <c r="E7" s="20" t="n"/>
      <c r="F7" s="19">
        <f>IF(ISNUMBER($E7),$E7,Inputs!$B$20)</f>
        <v/>
      </c>
      <c r="G7" s="19">
        <f>$D7-$F7</f>
        <v/>
      </c>
      <c r="H7" s="21">
        <f>IFERROR($G7/$D7,0)</f>
        <v/>
      </c>
      <c r="I7" s="19">
        <f>SUM($D$5:$D7)</f>
        <v/>
      </c>
      <c r="J7" s="19">
        <f>SUM($F$5:$F7)</f>
        <v/>
      </c>
    </row>
    <row r="8">
      <c r="A8" s="16" t="n">
        <v>4</v>
      </c>
      <c r="B8" s="17" t="inlineStr">
        <is>
          <t>Item 4</t>
        </is>
      </c>
      <c r="C8" s="18" t="n">
        <v>5</v>
      </c>
      <c r="D8" s="19">
        <f>$C8*Inputs!$B$14</f>
        <v/>
      </c>
      <c r="E8" s="20" t="n"/>
      <c r="F8" s="19">
        <f>IF(ISNUMBER($E8),$E8,Inputs!$B$20)</f>
        <v/>
      </c>
      <c r="G8" s="19">
        <f>$D8-$F8</f>
        <v/>
      </c>
      <c r="H8" s="21">
        <f>IFERROR($G8/$D8,0)</f>
        <v/>
      </c>
      <c r="I8" s="19">
        <f>SUM($D$5:$D8)</f>
        <v/>
      </c>
      <c r="J8" s="19">
        <f>SUM($F$5:$F8)</f>
        <v/>
      </c>
    </row>
    <row r="9">
      <c r="A9" s="16" t="n">
        <v>5</v>
      </c>
      <c r="B9" s="17" t="inlineStr">
        <is>
          <t>Item 5</t>
        </is>
      </c>
      <c r="C9" s="18" t="n">
        <v>5</v>
      </c>
      <c r="D9" s="19">
        <f>$C9*Inputs!$B$14</f>
        <v/>
      </c>
      <c r="E9" s="20" t="n"/>
      <c r="F9" s="19">
        <f>IF(ISNUMBER($E9),$E9,Inputs!$B$20)</f>
        <v/>
      </c>
      <c r="G9" s="19">
        <f>$D9-$F9</f>
        <v/>
      </c>
      <c r="H9" s="21">
        <f>IFERROR($G9/$D9,0)</f>
        <v/>
      </c>
      <c r="I9" s="19">
        <f>SUM($D$5:$D9)</f>
        <v/>
      </c>
      <c r="J9" s="19">
        <f>SUM($F$5:$F9)</f>
        <v/>
      </c>
    </row>
    <row r="11">
      <c r="B11" s="3" t="inlineStr">
        <is>
          <t>TOTAL / all 5</t>
        </is>
      </c>
      <c r="C11" s="22">
        <f>SUM($C$5:$C$9)</f>
        <v/>
      </c>
      <c r="D11" s="22">
        <f>SUM($D$5:$D$9)</f>
        <v/>
      </c>
      <c r="F11" s="22">
        <f>SUM($F$5:$F$9)</f>
        <v/>
      </c>
      <c r="G11" s="22">
        <f>SUM($G$5:$G$9)</f>
        <v/>
      </c>
      <c r="H11" s="23">
        <f>IFERROR($G$11/$D$11,0)</f>
        <v/>
      </c>
    </row>
    <row r="13">
      <c r="A13" s="2" t="inlineStr">
        <is>
          <t>MSRPs supplied by you: item 1 $5, item 2 $7, item 3 $6, item 4 $5, item 5 $5.</t>
        </is>
      </c>
    </row>
    <row r="14">
      <c r="A14" s="2" t="inlineStr">
        <is>
          <t>Rename the items in column B — the model does not care what they are called.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SCALING 1 → 5 ITEMS</t>
        </is>
      </c>
    </row>
    <row r="2">
      <c r="A2" s="2" t="inlineStr">
        <is>
          <t>Weekly basis, because you bake in sessions, not continuously. Revenue scales linearly with items; bake time does not. That gap is the whole story.</t>
        </is>
      </c>
    </row>
    <row r="3">
      <c r="A3" s="3">
        <f>" Scenario: "&amp;Inputs!$B$11&amp;"  ·  "&amp;TEXT(Inputs!$B$12,"0.0")&amp;" units/day/item  ·  "&amp;TEXT(Inputs!$B$32,"0")&amp;" bake sessions/week  ·  setup "&amp;Inputs!$B$31&amp;"  ·  cost basis "&amp;Inputs!$B$18</f>
        <v/>
      </c>
    </row>
    <row r="5" ht="28" customHeight="1">
      <c r="A5" s="15" t="inlineStr">
        <is>
          <t>Items sold</t>
        </is>
      </c>
      <c r="B5" s="15" t="inlineStr">
        <is>
          <t>Units/week</t>
        </is>
      </c>
      <c r="C5" s="15" t="inlineStr">
        <is>
          <t>Units per session, per item</t>
        </is>
      </c>
      <c r="D5" s="15" t="inlineStr">
        <is>
          <t>Batches per session, per item</t>
        </is>
      </c>
      <c r="E5" s="15" t="inlineStr">
        <is>
          <t>Bake hrs/week</t>
        </is>
      </c>
      <c r="F5" s="15" t="inlineStr">
        <is>
          <t>Revenue/week</t>
        </is>
      </c>
      <c r="G5" s="15" t="inlineStr">
        <is>
          <t>Materials/week</t>
        </is>
      </c>
      <c r="H5" s="15" t="inlineStr">
        <is>
          <t>Labor+kitchen/week</t>
        </is>
      </c>
      <c r="I5" s="15" t="inlineStr">
        <is>
          <t>Profit/week</t>
        </is>
      </c>
      <c r="J5" s="15" t="inlineStr">
        <is>
          <t>Profit/day</t>
        </is>
      </c>
      <c r="K5" s="15" t="inlineStr">
        <is>
          <t>Profit/year</t>
        </is>
      </c>
      <c r="L5" s="15" t="inlineStr">
        <is>
          <t>Incremental /yr</t>
        </is>
      </c>
    </row>
    <row r="6">
      <c r="A6" s="24" t="inlineStr">
        <is>
          <t>1 item</t>
        </is>
      </c>
      <c r="B6" s="25">
        <f>1*Inputs!$B$22*Inputs!$B$12*7</f>
        <v/>
      </c>
      <c r="C6" s="25">
        <f>Inputs!$B$22*Inputs!$B$12*7/Inputs!$B$32</f>
        <v/>
      </c>
      <c r="D6" s="25">
        <f>ROUNDUP(Inputs!$B$22*Inputs!$B$12*7/Inputs!$B$32/Inputs!$B$24,0)</f>
        <v/>
      </c>
      <c r="E6" s="25">
        <f>IF(Inputs!$B$31="Shared",Inputs!$B$32*(Inputs!$B$25+1*ROUNDUP(Inputs!$B$22*Inputs!$B$12*7/Inputs!$B$32/Inputs!$B$24,0)*(Inputs!$B$26+Inputs!$B$27))/60,Inputs!$B$32*1*(Inputs!$B$25+ROUNDUP(Inputs!$B$22*Inputs!$B$12*7/Inputs!$B$32/Inputs!$B$24,0)*(Inputs!$B$26+Inputs!$B$27))/60)</f>
        <v/>
      </c>
      <c r="F6" s="19">
        <f>Inputs!$B$22*Inputs!$B$12*7*INDEX(Items!$I$5:$I$9,1)</f>
        <v/>
      </c>
      <c r="G6" s="19">
        <f>Inputs!$B$22*Inputs!$B$12*7*INDEX(Items!$J$5:$J$9,1)</f>
        <v/>
      </c>
      <c r="H6" s="19">
        <f>IF(Inputs!$B$21="Yes",$E6*Inputs!$B$30,0)</f>
        <v/>
      </c>
      <c r="I6" s="19">
        <f>$F6-$G6-$H6</f>
        <v/>
      </c>
      <c r="J6" s="19">
        <f>$I6/7</f>
        <v/>
      </c>
      <c r="K6" s="26">
        <f>$I6*52</f>
        <v/>
      </c>
      <c r="L6" s="26" t="inlineStr">
        <is>
          <t>-</t>
        </is>
      </c>
    </row>
    <row r="7">
      <c r="A7" s="24" t="inlineStr">
        <is>
          <t>2 items</t>
        </is>
      </c>
      <c r="B7" s="25">
        <f>2*Inputs!$B$22*Inputs!$B$12*7</f>
        <v/>
      </c>
      <c r="C7" s="25">
        <f>Inputs!$B$22*Inputs!$B$12*7/Inputs!$B$32</f>
        <v/>
      </c>
      <c r="D7" s="25">
        <f>ROUNDUP(Inputs!$B$22*Inputs!$B$12*7/Inputs!$B$32/Inputs!$B$24,0)</f>
        <v/>
      </c>
      <c r="E7" s="25">
        <f>IF(Inputs!$B$31="Shared",Inputs!$B$32*(Inputs!$B$25+2*ROUNDUP(Inputs!$B$22*Inputs!$B$12*7/Inputs!$B$32/Inputs!$B$24,0)*(Inputs!$B$26+Inputs!$B$27))/60,Inputs!$B$32*2*(Inputs!$B$25+ROUNDUP(Inputs!$B$22*Inputs!$B$12*7/Inputs!$B$32/Inputs!$B$24,0)*(Inputs!$B$26+Inputs!$B$27))/60)</f>
        <v/>
      </c>
      <c r="F7" s="19">
        <f>Inputs!$B$22*Inputs!$B$12*7*INDEX(Items!$I$5:$I$9,2)</f>
        <v/>
      </c>
      <c r="G7" s="19">
        <f>Inputs!$B$22*Inputs!$B$12*7*INDEX(Items!$J$5:$J$9,2)</f>
        <v/>
      </c>
      <c r="H7" s="19">
        <f>IF(Inputs!$B$21="Yes",$E7*Inputs!$B$30,0)</f>
        <v/>
      </c>
      <c r="I7" s="19">
        <f>$F7-$G7-$H7</f>
        <v/>
      </c>
      <c r="J7" s="19">
        <f>$I7/7</f>
        <v/>
      </c>
      <c r="K7" s="26">
        <f>$I7*52</f>
        <v/>
      </c>
      <c r="L7" s="26">
        <f>$K7-$K6</f>
        <v/>
      </c>
    </row>
    <row r="8">
      <c r="A8" s="24" t="inlineStr">
        <is>
          <t>3 items</t>
        </is>
      </c>
      <c r="B8" s="25">
        <f>3*Inputs!$B$22*Inputs!$B$12*7</f>
        <v/>
      </c>
      <c r="C8" s="25">
        <f>Inputs!$B$22*Inputs!$B$12*7/Inputs!$B$32</f>
        <v/>
      </c>
      <c r="D8" s="25">
        <f>ROUNDUP(Inputs!$B$22*Inputs!$B$12*7/Inputs!$B$32/Inputs!$B$24,0)</f>
        <v/>
      </c>
      <c r="E8" s="25">
        <f>IF(Inputs!$B$31="Shared",Inputs!$B$32*(Inputs!$B$25+3*ROUNDUP(Inputs!$B$22*Inputs!$B$12*7/Inputs!$B$32/Inputs!$B$24,0)*(Inputs!$B$26+Inputs!$B$27))/60,Inputs!$B$32*3*(Inputs!$B$25+ROUNDUP(Inputs!$B$22*Inputs!$B$12*7/Inputs!$B$32/Inputs!$B$24,0)*(Inputs!$B$26+Inputs!$B$27))/60)</f>
        <v/>
      </c>
      <c r="F8" s="19">
        <f>Inputs!$B$22*Inputs!$B$12*7*INDEX(Items!$I$5:$I$9,3)</f>
        <v/>
      </c>
      <c r="G8" s="19">
        <f>Inputs!$B$22*Inputs!$B$12*7*INDEX(Items!$J$5:$J$9,3)</f>
        <v/>
      </c>
      <c r="H8" s="19">
        <f>IF(Inputs!$B$21="Yes",$E8*Inputs!$B$30,0)</f>
        <v/>
      </c>
      <c r="I8" s="19">
        <f>$F8-$G8-$H8</f>
        <v/>
      </c>
      <c r="J8" s="19">
        <f>$I8/7</f>
        <v/>
      </c>
      <c r="K8" s="26">
        <f>$I8*52</f>
        <v/>
      </c>
      <c r="L8" s="26">
        <f>$K8-$K7</f>
        <v/>
      </c>
    </row>
    <row r="9">
      <c r="A9" s="24" t="inlineStr">
        <is>
          <t>4 items</t>
        </is>
      </c>
      <c r="B9" s="25">
        <f>4*Inputs!$B$22*Inputs!$B$12*7</f>
        <v/>
      </c>
      <c r="C9" s="25">
        <f>Inputs!$B$22*Inputs!$B$12*7/Inputs!$B$32</f>
        <v/>
      </c>
      <c r="D9" s="25">
        <f>ROUNDUP(Inputs!$B$22*Inputs!$B$12*7/Inputs!$B$32/Inputs!$B$24,0)</f>
        <v/>
      </c>
      <c r="E9" s="25">
        <f>IF(Inputs!$B$31="Shared",Inputs!$B$32*(Inputs!$B$25+4*ROUNDUP(Inputs!$B$22*Inputs!$B$12*7/Inputs!$B$32/Inputs!$B$24,0)*(Inputs!$B$26+Inputs!$B$27))/60,Inputs!$B$32*4*(Inputs!$B$25+ROUNDUP(Inputs!$B$22*Inputs!$B$12*7/Inputs!$B$32/Inputs!$B$24,0)*(Inputs!$B$26+Inputs!$B$27))/60)</f>
        <v/>
      </c>
      <c r="F9" s="19">
        <f>Inputs!$B$22*Inputs!$B$12*7*INDEX(Items!$I$5:$I$9,4)</f>
        <v/>
      </c>
      <c r="G9" s="19">
        <f>Inputs!$B$22*Inputs!$B$12*7*INDEX(Items!$J$5:$J$9,4)</f>
        <v/>
      </c>
      <c r="H9" s="19">
        <f>IF(Inputs!$B$21="Yes",$E9*Inputs!$B$30,0)</f>
        <v/>
      </c>
      <c r="I9" s="19">
        <f>$F9-$G9-$H9</f>
        <v/>
      </c>
      <c r="J9" s="19">
        <f>$I9/7</f>
        <v/>
      </c>
      <c r="K9" s="26">
        <f>$I9*52</f>
        <v/>
      </c>
      <c r="L9" s="26">
        <f>$K9-$K8</f>
        <v/>
      </c>
    </row>
    <row r="10">
      <c r="A10" s="24" t="inlineStr">
        <is>
          <t>5 items</t>
        </is>
      </c>
      <c r="B10" s="25">
        <f>5*Inputs!$B$22*Inputs!$B$12*7</f>
        <v/>
      </c>
      <c r="C10" s="25">
        <f>Inputs!$B$22*Inputs!$B$12*7/Inputs!$B$32</f>
        <v/>
      </c>
      <c r="D10" s="25">
        <f>ROUNDUP(Inputs!$B$22*Inputs!$B$12*7/Inputs!$B$32/Inputs!$B$24,0)</f>
        <v/>
      </c>
      <c r="E10" s="25">
        <f>IF(Inputs!$B$31="Shared",Inputs!$B$32*(Inputs!$B$25+5*ROUNDUP(Inputs!$B$22*Inputs!$B$12*7/Inputs!$B$32/Inputs!$B$24,0)*(Inputs!$B$26+Inputs!$B$27))/60,Inputs!$B$32*5*(Inputs!$B$25+ROUNDUP(Inputs!$B$22*Inputs!$B$12*7/Inputs!$B$32/Inputs!$B$24,0)*(Inputs!$B$26+Inputs!$B$27))/60)</f>
        <v/>
      </c>
      <c r="F10" s="19">
        <f>Inputs!$B$22*Inputs!$B$12*7*INDEX(Items!$I$5:$I$9,5)</f>
        <v/>
      </c>
      <c r="G10" s="19">
        <f>Inputs!$B$22*Inputs!$B$12*7*INDEX(Items!$J$5:$J$9,5)</f>
        <v/>
      </c>
      <c r="H10" s="19">
        <f>IF(Inputs!$B$21="Yes",$E10*Inputs!$B$30,0)</f>
        <v/>
      </c>
      <c r="I10" s="19">
        <f>$F10-$G10-$H10</f>
        <v/>
      </c>
      <c r="J10" s="19">
        <f>$I10/7</f>
        <v/>
      </c>
      <c r="K10" s="26">
        <f>$I10*52</f>
        <v/>
      </c>
      <c r="L10" s="26">
        <f>$K10-$K9</f>
        <v/>
      </c>
    </row>
    <row r="12">
      <c r="A12" s="3" t="inlineStr">
        <is>
          <t>PER-UNIT AND PER-HOUR VIEW</t>
        </is>
      </c>
    </row>
    <row r="13" ht="28" customHeight="1">
      <c r="A13" s="15" t="inlineStr">
        <is>
          <t>Items sold</t>
        </is>
      </c>
      <c r="B13" s="15" t="inlineStr">
        <is>
          <t>Profit $/unit</t>
        </is>
      </c>
      <c r="C13" s="15" t="inlineStr">
        <is>
          <t>Profit $/bake hr</t>
        </is>
      </c>
      <c r="D13" s="15" t="inlineStr">
        <is>
          <t>Bake min/unit</t>
        </is>
      </c>
      <c r="E13" s="15" t="inlineStr">
        <is>
          <t>Time cost $/unit</t>
        </is>
      </c>
      <c r="F13" s="15" t="inlineStr">
        <is>
          <t>Materials $/unit</t>
        </is>
      </c>
      <c r="G13" s="15" t="inlineStr">
        <is>
          <t>Margin % of wholesale</t>
        </is>
      </c>
    </row>
    <row r="14">
      <c r="A14" s="24" t="inlineStr">
        <is>
          <t>1 item</t>
        </is>
      </c>
      <c r="B14" s="19">
        <f>IFERROR($I6/$B6,0)</f>
        <v/>
      </c>
      <c r="C14" s="19">
        <f>IFERROR($I6/$E6,0)</f>
        <v/>
      </c>
      <c r="D14" s="25">
        <f>IFERROR($E6*60/$B6,0)</f>
        <v/>
      </c>
      <c r="E14" s="19">
        <f>IFERROR($H6/$B6,0)</f>
        <v/>
      </c>
      <c r="F14" s="19">
        <f>IFERROR($G6/$B6,0)</f>
        <v/>
      </c>
      <c r="G14" s="21">
        <f>IFERROR($I6/$F6,0)</f>
        <v/>
      </c>
    </row>
    <row r="15">
      <c r="A15" s="24" t="inlineStr">
        <is>
          <t>2 items</t>
        </is>
      </c>
      <c r="B15" s="19">
        <f>IFERROR($I7/$B7,0)</f>
        <v/>
      </c>
      <c r="C15" s="19">
        <f>IFERROR($I7/$E7,0)</f>
        <v/>
      </c>
      <c r="D15" s="25">
        <f>IFERROR($E7*60/$B7,0)</f>
        <v/>
      </c>
      <c r="E15" s="19">
        <f>IFERROR($H7/$B7,0)</f>
        <v/>
      </c>
      <c r="F15" s="19">
        <f>IFERROR($G7/$B7,0)</f>
        <v/>
      </c>
      <c r="G15" s="21">
        <f>IFERROR($I7/$F7,0)</f>
        <v/>
      </c>
    </row>
    <row r="16">
      <c r="A16" s="24" t="inlineStr">
        <is>
          <t>3 items</t>
        </is>
      </c>
      <c r="B16" s="19">
        <f>IFERROR($I8/$B8,0)</f>
        <v/>
      </c>
      <c r="C16" s="19">
        <f>IFERROR($I8/$E8,0)</f>
        <v/>
      </c>
      <c r="D16" s="25">
        <f>IFERROR($E8*60/$B8,0)</f>
        <v/>
      </c>
      <c r="E16" s="19">
        <f>IFERROR($H8/$B8,0)</f>
        <v/>
      </c>
      <c r="F16" s="19">
        <f>IFERROR($G8/$B8,0)</f>
        <v/>
      </c>
      <c r="G16" s="21">
        <f>IFERROR($I8/$F8,0)</f>
        <v/>
      </c>
    </row>
    <row r="17">
      <c r="A17" s="24" t="inlineStr">
        <is>
          <t>4 items</t>
        </is>
      </c>
      <c r="B17" s="19">
        <f>IFERROR($I9/$B9,0)</f>
        <v/>
      </c>
      <c r="C17" s="19">
        <f>IFERROR($I9/$E9,0)</f>
        <v/>
      </c>
      <c r="D17" s="25">
        <f>IFERROR($E9*60/$B9,0)</f>
        <v/>
      </c>
      <c r="E17" s="19">
        <f>IFERROR($H9/$B9,0)</f>
        <v/>
      </c>
      <c r="F17" s="19">
        <f>IFERROR($G9/$B9,0)</f>
        <v/>
      </c>
      <c r="G17" s="21">
        <f>IFERROR($I9/$F9,0)</f>
        <v/>
      </c>
    </row>
    <row r="18">
      <c r="A18" s="24" t="inlineStr">
        <is>
          <t>5 items</t>
        </is>
      </c>
      <c r="B18" s="19">
        <f>IFERROR($I10/$B10,0)</f>
        <v/>
      </c>
      <c r="C18" s="19">
        <f>IFERROR($I10/$E10,0)</f>
        <v/>
      </c>
      <c r="D18" s="25">
        <f>IFERROR($E10*60/$B10,0)</f>
        <v/>
      </c>
      <c r="E18" s="19">
        <f>IFERROR($H10/$B10,0)</f>
        <v/>
      </c>
      <c r="F18" s="19">
        <f>IFERROR($G10/$B10,0)</f>
        <v/>
      </c>
      <c r="G18" s="21">
        <f>IFERROR($I10/$F10,0)</f>
        <v/>
      </c>
    </row>
    <row r="20">
      <c r="A20" s="3" t="inlineStr">
        <is>
          <t>THE THREE LEVERS, IN ORDER OF POWER</t>
        </is>
      </c>
    </row>
    <row r="21">
      <c r="A21" s="2" t="inlineStr">
        <is>
          <t>1. Bake sessions per week (Inputs!B32). Fewer, bigger sessions fill the 20-unit batches and pay the 20-min setup once instead of seven times.</t>
        </is>
      </c>
    </row>
    <row r="22">
      <c r="A22" s="2" t="inlineStr">
        <is>
          <t>2. Setup treatment (Inputs!B31). "Shared" bakes all five SKUs in one session — one setup for the lot, not five.</t>
        </is>
      </c>
    </row>
    <row r="23">
      <c r="A23" s="2" t="inlineStr">
        <is>
          <t>3. Batch yield (Inputs!B24). Bigger trays divide the 29 min of prep+bake across more units. See the BreakEven tab, section D.</t>
        </is>
      </c>
    </row>
    <row r="24">
      <c r="A24" s="2" t="inlineStr">
        <is>
          <t>Adding SKUs raises revenue in a straight line. Whether it raises PROFIT depends entirely on whether the new SKU rides an existing session or forces a new 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4" customWidth="1" min="4" max="4"/>
    <col width="13" customWidth="1" min="5" max="5"/>
    <col width="14" customWidth="1" min="6" max="6"/>
    <col width="13" customWidth="1" min="7" max="7"/>
    <col width="14" customWidth="1" min="8" max="8"/>
    <col width="14" customWidth="1" min="9" max="9"/>
  </cols>
  <sheetData>
    <row r="1">
      <c r="A1" s="1" t="inlineStr">
        <is>
          <t>BEAR / BASE / BULL</t>
        </is>
      </c>
    </row>
    <row r="2">
      <c r="A2" s="2" t="inlineStr">
        <is>
          <t>All three volume cases at once, on the same weekly basis. Each block reads its own units/day from Inputs.</t>
        </is>
      </c>
    </row>
    <row r="4">
      <c r="A4" s="5" t="inlineStr">
        <is>
          <t>BEAR  —  units/day per item = Inputs!$B$7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 ht="28" customHeight="1">
      <c r="A5" s="15" t="inlineStr">
        <is>
          <t>Items sold</t>
        </is>
      </c>
      <c r="B5" s="15" t="inlineStr">
        <is>
          <t>Units/week</t>
        </is>
      </c>
      <c r="C5" s="15" t="inlineStr">
        <is>
          <t>Bake hrs/week</t>
        </is>
      </c>
      <c r="D5" s="15" t="inlineStr">
        <is>
          <t>Revenue/week</t>
        </is>
      </c>
      <c r="E5" s="15" t="inlineStr">
        <is>
          <t>Materials/week</t>
        </is>
      </c>
      <c r="F5" s="15" t="inlineStr">
        <is>
          <t>Labor+kitchen/week</t>
        </is>
      </c>
      <c r="G5" s="15" t="inlineStr">
        <is>
          <t>Profit/week</t>
        </is>
      </c>
      <c r="H5" s="15" t="inlineStr">
        <is>
          <t>Profit/day</t>
        </is>
      </c>
      <c r="I5" s="15" t="inlineStr">
        <is>
          <t>Profit/year</t>
        </is>
      </c>
    </row>
    <row r="6">
      <c r="A6" s="24" t="inlineStr">
        <is>
          <t>1 item</t>
        </is>
      </c>
      <c r="B6" s="25">
        <f>1*Inputs!$B$22*Inputs!$B$7*7</f>
        <v/>
      </c>
      <c r="C6" s="25">
        <f>IF(Inputs!$B$31="Shared",Inputs!$B$32*(Inputs!$B$25+1*ROUNDUP(Inputs!$B$22*Inputs!$B$7*7/Inputs!$B$32/Inputs!$B$24,0)*(Inputs!$B$26+Inputs!$B$27))/60,Inputs!$B$32*1*(Inputs!$B$25+ROUNDUP(Inputs!$B$22*Inputs!$B$7*7/Inputs!$B$32/Inputs!$B$24,0)*(Inputs!$B$26+Inputs!$B$27))/60)</f>
        <v/>
      </c>
      <c r="D6" s="19">
        <f>Inputs!$B$22*Inputs!$B$7*7*INDEX(Items!$I$5:$I$9,1)</f>
        <v/>
      </c>
      <c r="E6" s="19">
        <f>Inputs!$B$22*Inputs!$B$7*7*INDEX(Items!$J$5:$J$9,1)</f>
        <v/>
      </c>
      <c r="F6" s="19">
        <f>IF(Inputs!$B$21="Yes",$C6*Inputs!$B$30,0)</f>
        <v/>
      </c>
      <c r="G6" s="19">
        <f>$D6-$E6-$F6</f>
        <v/>
      </c>
      <c r="H6" s="19">
        <f>$G6/7</f>
        <v/>
      </c>
      <c r="I6" s="26">
        <f>$G6*52</f>
        <v/>
      </c>
    </row>
    <row r="7">
      <c r="A7" s="24" t="inlineStr">
        <is>
          <t>2 items</t>
        </is>
      </c>
      <c r="B7" s="25">
        <f>2*Inputs!$B$22*Inputs!$B$7*7</f>
        <v/>
      </c>
      <c r="C7" s="25">
        <f>IF(Inputs!$B$31="Shared",Inputs!$B$32*(Inputs!$B$25+2*ROUNDUP(Inputs!$B$22*Inputs!$B$7*7/Inputs!$B$32/Inputs!$B$24,0)*(Inputs!$B$26+Inputs!$B$27))/60,Inputs!$B$32*2*(Inputs!$B$25+ROUNDUP(Inputs!$B$22*Inputs!$B$7*7/Inputs!$B$32/Inputs!$B$24,0)*(Inputs!$B$26+Inputs!$B$27))/60)</f>
        <v/>
      </c>
      <c r="D7" s="19">
        <f>Inputs!$B$22*Inputs!$B$7*7*INDEX(Items!$I$5:$I$9,2)</f>
        <v/>
      </c>
      <c r="E7" s="19">
        <f>Inputs!$B$22*Inputs!$B$7*7*INDEX(Items!$J$5:$J$9,2)</f>
        <v/>
      </c>
      <c r="F7" s="19">
        <f>IF(Inputs!$B$21="Yes",$C7*Inputs!$B$30,0)</f>
        <v/>
      </c>
      <c r="G7" s="19">
        <f>$D7-$E7-$F7</f>
        <v/>
      </c>
      <c r="H7" s="19">
        <f>$G7/7</f>
        <v/>
      </c>
      <c r="I7" s="26">
        <f>$G7*52</f>
        <v/>
      </c>
    </row>
    <row r="8">
      <c r="A8" s="24" t="inlineStr">
        <is>
          <t>3 items</t>
        </is>
      </c>
      <c r="B8" s="25">
        <f>3*Inputs!$B$22*Inputs!$B$7*7</f>
        <v/>
      </c>
      <c r="C8" s="25">
        <f>IF(Inputs!$B$31="Shared",Inputs!$B$32*(Inputs!$B$25+3*ROUNDUP(Inputs!$B$22*Inputs!$B$7*7/Inputs!$B$32/Inputs!$B$24,0)*(Inputs!$B$26+Inputs!$B$27))/60,Inputs!$B$32*3*(Inputs!$B$25+ROUNDUP(Inputs!$B$22*Inputs!$B$7*7/Inputs!$B$32/Inputs!$B$24,0)*(Inputs!$B$26+Inputs!$B$27))/60)</f>
        <v/>
      </c>
      <c r="D8" s="19">
        <f>Inputs!$B$22*Inputs!$B$7*7*INDEX(Items!$I$5:$I$9,3)</f>
        <v/>
      </c>
      <c r="E8" s="19">
        <f>Inputs!$B$22*Inputs!$B$7*7*INDEX(Items!$J$5:$J$9,3)</f>
        <v/>
      </c>
      <c r="F8" s="19">
        <f>IF(Inputs!$B$21="Yes",$C8*Inputs!$B$30,0)</f>
        <v/>
      </c>
      <c r="G8" s="19">
        <f>$D8-$E8-$F8</f>
        <v/>
      </c>
      <c r="H8" s="19">
        <f>$G8/7</f>
        <v/>
      </c>
      <c r="I8" s="26">
        <f>$G8*52</f>
        <v/>
      </c>
    </row>
    <row r="9">
      <c r="A9" s="24" t="inlineStr">
        <is>
          <t>4 items</t>
        </is>
      </c>
      <c r="B9" s="25">
        <f>4*Inputs!$B$22*Inputs!$B$7*7</f>
        <v/>
      </c>
      <c r="C9" s="25">
        <f>IF(Inputs!$B$31="Shared",Inputs!$B$32*(Inputs!$B$25+4*ROUNDUP(Inputs!$B$22*Inputs!$B$7*7/Inputs!$B$32/Inputs!$B$24,0)*(Inputs!$B$26+Inputs!$B$27))/60,Inputs!$B$32*4*(Inputs!$B$25+ROUNDUP(Inputs!$B$22*Inputs!$B$7*7/Inputs!$B$32/Inputs!$B$24,0)*(Inputs!$B$26+Inputs!$B$27))/60)</f>
        <v/>
      </c>
      <c r="D9" s="19">
        <f>Inputs!$B$22*Inputs!$B$7*7*INDEX(Items!$I$5:$I$9,4)</f>
        <v/>
      </c>
      <c r="E9" s="19">
        <f>Inputs!$B$22*Inputs!$B$7*7*INDEX(Items!$J$5:$J$9,4)</f>
        <v/>
      </c>
      <c r="F9" s="19">
        <f>IF(Inputs!$B$21="Yes",$C9*Inputs!$B$30,0)</f>
        <v/>
      </c>
      <c r="G9" s="19">
        <f>$D9-$E9-$F9</f>
        <v/>
      </c>
      <c r="H9" s="19">
        <f>$G9/7</f>
        <v/>
      </c>
      <c r="I9" s="26">
        <f>$G9*52</f>
        <v/>
      </c>
    </row>
    <row r="10">
      <c r="A10" s="24" t="inlineStr">
        <is>
          <t>5 items</t>
        </is>
      </c>
      <c r="B10" s="25">
        <f>5*Inputs!$B$22*Inputs!$B$7*7</f>
        <v/>
      </c>
      <c r="C10" s="25">
        <f>IF(Inputs!$B$31="Shared",Inputs!$B$32*(Inputs!$B$25+5*ROUNDUP(Inputs!$B$22*Inputs!$B$7*7/Inputs!$B$32/Inputs!$B$24,0)*(Inputs!$B$26+Inputs!$B$27))/60,Inputs!$B$32*5*(Inputs!$B$25+ROUNDUP(Inputs!$B$22*Inputs!$B$7*7/Inputs!$B$32/Inputs!$B$24,0)*(Inputs!$B$26+Inputs!$B$27))/60)</f>
        <v/>
      </c>
      <c r="D10" s="19">
        <f>Inputs!$B$22*Inputs!$B$7*7*INDEX(Items!$I$5:$I$9,5)</f>
        <v/>
      </c>
      <c r="E10" s="19">
        <f>Inputs!$B$22*Inputs!$B$7*7*INDEX(Items!$J$5:$J$9,5)</f>
        <v/>
      </c>
      <c r="F10" s="19">
        <f>IF(Inputs!$B$21="Yes",$C10*Inputs!$B$30,0)</f>
        <v/>
      </c>
      <c r="G10" s="19">
        <f>$D10-$E10-$F10</f>
        <v/>
      </c>
      <c r="H10" s="19">
        <f>$G10/7</f>
        <v/>
      </c>
      <c r="I10" s="26">
        <f>$G10*52</f>
        <v/>
      </c>
    </row>
    <row r="12">
      <c r="A12" s="5" t="inlineStr">
        <is>
          <t>BASE  —  units/day per item = Inputs!$B$8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28" customHeight="1">
      <c r="A13" s="15" t="inlineStr">
        <is>
          <t>Items sold</t>
        </is>
      </c>
      <c r="B13" s="15" t="inlineStr">
        <is>
          <t>Units/week</t>
        </is>
      </c>
      <c r="C13" s="15" t="inlineStr">
        <is>
          <t>Bake hrs/week</t>
        </is>
      </c>
      <c r="D13" s="15" t="inlineStr">
        <is>
          <t>Revenue/week</t>
        </is>
      </c>
      <c r="E13" s="15" t="inlineStr">
        <is>
          <t>Materials/week</t>
        </is>
      </c>
      <c r="F13" s="15" t="inlineStr">
        <is>
          <t>Labor+kitchen/week</t>
        </is>
      </c>
      <c r="G13" s="15" t="inlineStr">
        <is>
          <t>Profit/week</t>
        </is>
      </c>
      <c r="H13" s="15" t="inlineStr">
        <is>
          <t>Profit/day</t>
        </is>
      </c>
      <c r="I13" s="15" t="inlineStr">
        <is>
          <t>Profit/year</t>
        </is>
      </c>
    </row>
    <row r="14">
      <c r="A14" s="24" t="inlineStr">
        <is>
          <t>1 item</t>
        </is>
      </c>
      <c r="B14" s="25">
        <f>1*Inputs!$B$22*Inputs!$B$8*7</f>
        <v/>
      </c>
      <c r="C14" s="25">
        <f>IF(Inputs!$B$31="Shared",Inputs!$B$32*(Inputs!$B$25+1*ROUNDUP(Inputs!$B$22*Inputs!$B$8*7/Inputs!$B$32/Inputs!$B$24,0)*(Inputs!$B$26+Inputs!$B$27))/60,Inputs!$B$32*1*(Inputs!$B$25+ROUNDUP(Inputs!$B$22*Inputs!$B$8*7/Inputs!$B$32/Inputs!$B$24,0)*(Inputs!$B$26+Inputs!$B$27))/60)</f>
        <v/>
      </c>
      <c r="D14" s="19">
        <f>Inputs!$B$22*Inputs!$B$8*7*INDEX(Items!$I$5:$I$9,1)</f>
        <v/>
      </c>
      <c r="E14" s="19">
        <f>Inputs!$B$22*Inputs!$B$8*7*INDEX(Items!$J$5:$J$9,1)</f>
        <v/>
      </c>
      <c r="F14" s="19">
        <f>IF(Inputs!$B$21="Yes",$C14*Inputs!$B$30,0)</f>
        <v/>
      </c>
      <c r="G14" s="19">
        <f>$D14-$E14-$F14</f>
        <v/>
      </c>
      <c r="H14" s="19">
        <f>$G14/7</f>
        <v/>
      </c>
      <c r="I14" s="26">
        <f>$G14*52</f>
        <v/>
      </c>
    </row>
    <row r="15">
      <c r="A15" s="24" t="inlineStr">
        <is>
          <t>2 items</t>
        </is>
      </c>
      <c r="B15" s="25">
        <f>2*Inputs!$B$22*Inputs!$B$8*7</f>
        <v/>
      </c>
      <c r="C15" s="25">
        <f>IF(Inputs!$B$31="Shared",Inputs!$B$32*(Inputs!$B$25+2*ROUNDUP(Inputs!$B$22*Inputs!$B$8*7/Inputs!$B$32/Inputs!$B$24,0)*(Inputs!$B$26+Inputs!$B$27))/60,Inputs!$B$32*2*(Inputs!$B$25+ROUNDUP(Inputs!$B$22*Inputs!$B$8*7/Inputs!$B$32/Inputs!$B$24,0)*(Inputs!$B$26+Inputs!$B$27))/60)</f>
        <v/>
      </c>
      <c r="D15" s="19">
        <f>Inputs!$B$22*Inputs!$B$8*7*INDEX(Items!$I$5:$I$9,2)</f>
        <v/>
      </c>
      <c r="E15" s="19">
        <f>Inputs!$B$22*Inputs!$B$8*7*INDEX(Items!$J$5:$J$9,2)</f>
        <v/>
      </c>
      <c r="F15" s="19">
        <f>IF(Inputs!$B$21="Yes",$C15*Inputs!$B$30,0)</f>
        <v/>
      </c>
      <c r="G15" s="19">
        <f>$D15-$E15-$F15</f>
        <v/>
      </c>
      <c r="H15" s="19">
        <f>$G15/7</f>
        <v/>
      </c>
      <c r="I15" s="26">
        <f>$G15*52</f>
        <v/>
      </c>
    </row>
    <row r="16">
      <c r="A16" s="24" t="inlineStr">
        <is>
          <t>3 items</t>
        </is>
      </c>
      <c r="B16" s="25">
        <f>3*Inputs!$B$22*Inputs!$B$8*7</f>
        <v/>
      </c>
      <c r="C16" s="25">
        <f>IF(Inputs!$B$31="Shared",Inputs!$B$32*(Inputs!$B$25+3*ROUNDUP(Inputs!$B$22*Inputs!$B$8*7/Inputs!$B$32/Inputs!$B$24,0)*(Inputs!$B$26+Inputs!$B$27))/60,Inputs!$B$32*3*(Inputs!$B$25+ROUNDUP(Inputs!$B$22*Inputs!$B$8*7/Inputs!$B$32/Inputs!$B$24,0)*(Inputs!$B$26+Inputs!$B$27))/60)</f>
        <v/>
      </c>
      <c r="D16" s="19">
        <f>Inputs!$B$22*Inputs!$B$8*7*INDEX(Items!$I$5:$I$9,3)</f>
        <v/>
      </c>
      <c r="E16" s="19">
        <f>Inputs!$B$22*Inputs!$B$8*7*INDEX(Items!$J$5:$J$9,3)</f>
        <v/>
      </c>
      <c r="F16" s="19">
        <f>IF(Inputs!$B$21="Yes",$C16*Inputs!$B$30,0)</f>
        <v/>
      </c>
      <c r="G16" s="19">
        <f>$D16-$E16-$F16</f>
        <v/>
      </c>
      <c r="H16" s="19">
        <f>$G16/7</f>
        <v/>
      </c>
      <c r="I16" s="26">
        <f>$G16*52</f>
        <v/>
      </c>
    </row>
    <row r="17">
      <c r="A17" s="24" t="inlineStr">
        <is>
          <t>4 items</t>
        </is>
      </c>
      <c r="B17" s="25">
        <f>4*Inputs!$B$22*Inputs!$B$8*7</f>
        <v/>
      </c>
      <c r="C17" s="25">
        <f>IF(Inputs!$B$31="Shared",Inputs!$B$32*(Inputs!$B$25+4*ROUNDUP(Inputs!$B$22*Inputs!$B$8*7/Inputs!$B$32/Inputs!$B$24,0)*(Inputs!$B$26+Inputs!$B$27))/60,Inputs!$B$32*4*(Inputs!$B$25+ROUNDUP(Inputs!$B$22*Inputs!$B$8*7/Inputs!$B$32/Inputs!$B$24,0)*(Inputs!$B$26+Inputs!$B$27))/60)</f>
        <v/>
      </c>
      <c r="D17" s="19">
        <f>Inputs!$B$22*Inputs!$B$8*7*INDEX(Items!$I$5:$I$9,4)</f>
        <v/>
      </c>
      <c r="E17" s="19">
        <f>Inputs!$B$22*Inputs!$B$8*7*INDEX(Items!$J$5:$J$9,4)</f>
        <v/>
      </c>
      <c r="F17" s="19">
        <f>IF(Inputs!$B$21="Yes",$C17*Inputs!$B$30,0)</f>
        <v/>
      </c>
      <c r="G17" s="19">
        <f>$D17-$E17-$F17</f>
        <v/>
      </c>
      <c r="H17" s="19">
        <f>$G17/7</f>
        <v/>
      </c>
      <c r="I17" s="26">
        <f>$G17*52</f>
        <v/>
      </c>
    </row>
    <row r="18">
      <c r="A18" s="24" t="inlineStr">
        <is>
          <t>5 items</t>
        </is>
      </c>
      <c r="B18" s="25">
        <f>5*Inputs!$B$22*Inputs!$B$8*7</f>
        <v/>
      </c>
      <c r="C18" s="25">
        <f>IF(Inputs!$B$31="Shared",Inputs!$B$32*(Inputs!$B$25+5*ROUNDUP(Inputs!$B$22*Inputs!$B$8*7/Inputs!$B$32/Inputs!$B$24,0)*(Inputs!$B$26+Inputs!$B$27))/60,Inputs!$B$32*5*(Inputs!$B$25+ROUNDUP(Inputs!$B$22*Inputs!$B$8*7/Inputs!$B$32/Inputs!$B$24,0)*(Inputs!$B$26+Inputs!$B$27))/60)</f>
        <v/>
      </c>
      <c r="D18" s="19">
        <f>Inputs!$B$22*Inputs!$B$8*7*INDEX(Items!$I$5:$I$9,5)</f>
        <v/>
      </c>
      <c r="E18" s="19">
        <f>Inputs!$B$22*Inputs!$B$8*7*INDEX(Items!$J$5:$J$9,5)</f>
        <v/>
      </c>
      <c r="F18" s="19">
        <f>IF(Inputs!$B$21="Yes",$C18*Inputs!$B$30,0)</f>
        <v/>
      </c>
      <c r="G18" s="19">
        <f>$D18-$E18-$F18</f>
        <v/>
      </c>
      <c r="H18" s="19">
        <f>$G18/7</f>
        <v/>
      </c>
      <c r="I18" s="26">
        <f>$G18*52</f>
        <v/>
      </c>
    </row>
    <row r="20">
      <c r="A20" s="5" t="inlineStr">
        <is>
          <t>BULL  —  units/day per item = Inputs!$B$9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28" customHeight="1">
      <c r="A21" s="15" t="inlineStr">
        <is>
          <t>Items sold</t>
        </is>
      </c>
      <c r="B21" s="15" t="inlineStr">
        <is>
          <t>Units/week</t>
        </is>
      </c>
      <c r="C21" s="15" t="inlineStr">
        <is>
          <t>Bake hrs/week</t>
        </is>
      </c>
      <c r="D21" s="15" t="inlineStr">
        <is>
          <t>Revenue/week</t>
        </is>
      </c>
      <c r="E21" s="15" t="inlineStr">
        <is>
          <t>Materials/week</t>
        </is>
      </c>
      <c r="F21" s="15" t="inlineStr">
        <is>
          <t>Labor+kitchen/week</t>
        </is>
      </c>
      <c r="G21" s="15" t="inlineStr">
        <is>
          <t>Profit/week</t>
        </is>
      </c>
      <c r="H21" s="15" t="inlineStr">
        <is>
          <t>Profit/day</t>
        </is>
      </c>
      <c r="I21" s="15" t="inlineStr">
        <is>
          <t>Profit/year</t>
        </is>
      </c>
    </row>
    <row r="22">
      <c r="A22" s="24" t="inlineStr">
        <is>
          <t>1 item</t>
        </is>
      </c>
      <c r="B22" s="25">
        <f>1*Inputs!$B$22*Inputs!$B$9*7</f>
        <v/>
      </c>
      <c r="C22" s="25">
        <f>IF(Inputs!$B$31="Shared",Inputs!$B$32*(Inputs!$B$25+1*ROUNDUP(Inputs!$B$22*Inputs!$B$9*7/Inputs!$B$32/Inputs!$B$24,0)*(Inputs!$B$26+Inputs!$B$27))/60,Inputs!$B$32*1*(Inputs!$B$25+ROUNDUP(Inputs!$B$22*Inputs!$B$9*7/Inputs!$B$32/Inputs!$B$24,0)*(Inputs!$B$26+Inputs!$B$27))/60)</f>
        <v/>
      </c>
      <c r="D22" s="19">
        <f>Inputs!$B$22*Inputs!$B$9*7*INDEX(Items!$I$5:$I$9,1)</f>
        <v/>
      </c>
      <c r="E22" s="19">
        <f>Inputs!$B$22*Inputs!$B$9*7*INDEX(Items!$J$5:$J$9,1)</f>
        <v/>
      </c>
      <c r="F22" s="19">
        <f>IF(Inputs!$B$21="Yes",$C22*Inputs!$B$30,0)</f>
        <v/>
      </c>
      <c r="G22" s="19">
        <f>$D22-$E22-$F22</f>
        <v/>
      </c>
      <c r="H22" s="19">
        <f>$G22/7</f>
        <v/>
      </c>
      <c r="I22" s="26">
        <f>$G22*52</f>
        <v/>
      </c>
    </row>
    <row r="23">
      <c r="A23" s="24" t="inlineStr">
        <is>
          <t>2 items</t>
        </is>
      </c>
      <c r="B23" s="25">
        <f>2*Inputs!$B$22*Inputs!$B$9*7</f>
        <v/>
      </c>
      <c r="C23" s="25">
        <f>IF(Inputs!$B$31="Shared",Inputs!$B$32*(Inputs!$B$25+2*ROUNDUP(Inputs!$B$22*Inputs!$B$9*7/Inputs!$B$32/Inputs!$B$24,0)*(Inputs!$B$26+Inputs!$B$27))/60,Inputs!$B$32*2*(Inputs!$B$25+ROUNDUP(Inputs!$B$22*Inputs!$B$9*7/Inputs!$B$32/Inputs!$B$24,0)*(Inputs!$B$26+Inputs!$B$27))/60)</f>
        <v/>
      </c>
      <c r="D23" s="19">
        <f>Inputs!$B$22*Inputs!$B$9*7*INDEX(Items!$I$5:$I$9,2)</f>
        <v/>
      </c>
      <c r="E23" s="19">
        <f>Inputs!$B$22*Inputs!$B$9*7*INDEX(Items!$J$5:$J$9,2)</f>
        <v/>
      </c>
      <c r="F23" s="19">
        <f>IF(Inputs!$B$21="Yes",$C23*Inputs!$B$30,0)</f>
        <v/>
      </c>
      <c r="G23" s="19">
        <f>$D23-$E23-$F23</f>
        <v/>
      </c>
      <c r="H23" s="19">
        <f>$G23/7</f>
        <v/>
      </c>
      <c r="I23" s="26">
        <f>$G23*52</f>
        <v/>
      </c>
    </row>
    <row r="24">
      <c r="A24" s="24" t="inlineStr">
        <is>
          <t>3 items</t>
        </is>
      </c>
      <c r="B24" s="25">
        <f>3*Inputs!$B$22*Inputs!$B$9*7</f>
        <v/>
      </c>
      <c r="C24" s="25">
        <f>IF(Inputs!$B$31="Shared",Inputs!$B$32*(Inputs!$B$25+3*ROUNDUP(Inputs!$B$22*Inputs!$B$9*7/Inputs!$B$32/Inputs!$B$24,0)*(Inputs!$B$26+Inputs!$B$27))/60,Inputs!$B$32*3*(Inputs!$B$25+ROUNDUP(Inputs!$B$22*Inputs!$B$9*7/Inputs!$B$32/Inputs!$B$24,0)*(Inputs!$B$26+Inputs!$B$27))/60)</f>
        <v/>
      </c>
      <c r="D24" s="19">
        <f>Inputs!$B$22*Inputs!$B$9*7*INDEX(Items!$I$5:$I$9,3)</f>
        <v/>
      </c>
      <c r="E24" s="19">
        <f>Inputs!$B$22*Inputs!$B$9*7*INDEX(Items!$J$5:$J$9,3)</f>
        <v/>
      </c>
      <c r="F24" s="19">
        <f>IF(Inputs!$B$21="Yes",$C24*Inputs!$B$30,0)</f>
        <v/>
      </c>
      <c r="G24" s="19">
        <f>$D24-$E24-$F24</f>
        <v/>
      </c>
      <c r="H24" s="19">
        <f>$G24/7</f>
        <v/>
      </c>
      <c r="I24" s="26">
        <f>$G24*52</f>
        <v/>
      </c>
    </row>
    <row r="25">
      <c r="A25" s="24" t="inlineStr">
        <is>
          <t>4 items</t>
        </is>
      </c>
      <c r="B25" s="25">
        <f>4*Inputs!$B$22*Inputs!$B$9*7</f>
        <v/>
      </c>
      <c r="C25" s="25">
        <f>IF(Inputs!$B$31="Shared",Inputs!$B$32*(Inputs!$B$25+4*ROUNDUP(Inputs!$B$22*Inputs!$B$9*7/Inputs!$B$32/Inputs!$B$24,0)*(Inputs!$B$26+Inputs!$B$27))/60,Inputs!$B$32*4*(Inputs!$B$25+ROUNDUP(Inputs!$B$22*Inputs!$B$9*7/Inputs!$B$32/Inputs!$B$24,0)*(Inputs!$B$26+Inputs!$B$27))/60)</f>
        <v/>
      </c>
      <c r="D25" s="19">
        <f>Inputs!$B$22*Inputs!$B$9*7*INDEX(Items!$I$5:$I$9,4)</f>
        <v/>
      </c>
      <c r="E25" s="19">
        <f>Inputs!$B$22*Inputs!$B$9*7*INDEX(Items!$J$5:$J$9,4)</f>
        <v/>
      </c>
      <c r="F25" s="19">
        <f>IF(Inputs!$B$21="Yes",$C25*Inputs!$B$30,0)</f>
        <v/>
      </c>
      <c r="G25" s="19">
        <f>$D25-$E25-$F25</f>
        <v/>
      </c>
      <c r="H25" s="19">
        <f>$G25/7</f>
        <v/>
      </c>
      <c r="I25" s="26">
        <f>$G25*52</f>
        <v/>
      </c>
    </row>
    <row r="26">
      <c r="A26" s="24" t="inlineStr">
        <is>
          <t>5 items</t>
        </is>
      </c>
      <c r="B26" s="25">
        <f>5*Inputs!$B$22*Inputs!$B$9*7</f>
        <v/>
      </c>
      <c r="C26" s="25">
        <f>IF(Inputs!$B$31="Shared",Inputs!$B$32*(Inputs!$B$25+5*ROUNDUP(Inputs!$B$22*Inputs!$B$9*7/Inputs!$B$32/Inputs!$B$24,0)*(Inputs!$B$26+Inputs!$B$27))/60,Inputs!$B$32*5*(Inputs!$B$25+ROUNDUP(Inputs!$B$22*Inputs!$B$9*7/Inputs!$B$32/Inputs!$B$24,0)*(Inputs!$B$26+Inputs!$B$27))/60)</f>
        <v/>
      </c>
      <c r="D26" s="19">
        <f>Inputs!$B$22*Inputs!$B$9*7*INDEX(Items!$I$5:$I$9,5)</f>
        <v/>
      </c>
      <c r="E26" s="19">
        <f>Inputs!$B$22*Inputs!$B$9*7*INDEX(Items!$J$5:$J$9,5)</f>
        <v/>
      </c>
      <c r="F26" s="19">
        <f>IF(Inputs!$B$21="Yes",$C26*Inputs!$B$30,0)</f>
        <v/>
      </c>
      <c r="G26" s="19">
        <f>$D26-$E26-$F26</f>
        <v/>
      </c>
      <c r="H26" s="19">
        <f>$G26/7</f>
        <v/>
      </c>
      <c r="I26" s="26">
        <f>$G26*52</f>
        <v/>
      </c>
    </row>
    <row r="28">
      <c r="A28" s="5" t="inlineStr">
        <is>
          <t>SUMMARY — annual profit at 5 items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3" t="inlineStr">
        <is>
          <t>Bear</t>
        </is>
      </c>
      <c r="B29" s="27">
        <f>$I$10</f>
        <v/>
      </c>
      <c r="C29" s="28">
        <f>IFERROR($B29/$B30-1,0)</f>
        <v/>
      </c>
      <c r="D29" s="2" t="inlineStr">
        <is>
          <t>vs base</t>
        </is>
      </c>
    </row>
    <row r="30">
      <c r="A30" s="3" t="inlineStr">
        <is>
          <t>Base</t>
        </is>
      </c>
      <c r="B30" s="27">
        <f>$I$18</f>
        <v/>
      </c>
    </row>
    <row r="31">
      <c r="A31" s="3" t="inlineStr">
        <is>
          <t>Bull</t>
        </is>
      </c>
      <c r="B31" s="27">
        <f>$I$26</f>
        <v/>
      </c>
      <c r="C31" s="28">
        <f>IFERROR($B31/$B30-1,0)</f>
        <v/>
      </c>
      <c r="D31" s="2" t="inlineStr">
        <is>
          <t>vs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4" customWidth="1" min="4" max="4"/>
    <col width="13" customWidth="1" min="5" max="5"/>
    <col width="46" customWidth="1" min="6" max="6"/>
  </cols>
  <sheetData>
    <row r="1">
      <c r="A1" s="1" t="inlineStr">
        <is>
          <t>WHAT A MADELEINE ACTUALLY COSTS</t>
        </is>
      </c>
    </row>
    <row r="2">
      <c r="A2" s="2" t="inlineStr">
        <is>
          <t>Recipes and ingredient prices are real, from kairos.html. Labor is derived from the app's bake constants. Everything else had NO source data and is an assumption — yellow.</t>
        </is>
      </c>
    </row>
    <row r="4">
      <c r="A4" s="5" t="inlineStr">
        <is>
          <t>A · INGREDIENT PRICES   (source: kairos.html DEFAULT_PRICES — Costco / Target / Amazon retail packs)</t>
        </is>
      </c>
      <c r="B4" s="6" t="n"/>
      <c r="C4" s="6" t="n"/>
      <c r="D4" s="6" t="n"/>
      <c r="E4" s="6" t="n"/>
      <c r="F4" s="6" t="n"/>
    </row>
    <row r="5" ht="28" customHeight="1">
      <c r="A5" s="15" t="inlineStr">
        <is>
          <t>Ingredient</t>
        </is>
      </c>
      <c r="B5" s="15" t="inlineStr">
        <is>
          <t>Pack size</t>
        </is>
      </c>
      <c r="C5" s="15" t="inlineStr">
        <is>
          <t>Unit</t>
        </is>
      </c>
      <c r="D5" s="15" t="inlineStr">
        <is>
          <t>Pack price</t>
        </is>
      </c>
      <c r="E5" s="15" t="inlineStr">
        <is>
          <t>$ per g/ml</t>
        </is>
      </c>
      <c r="F5" s="15" t="inlineStr">
        <is>
          <t>Note</t>
        </is>
      </c>
    </row>
    <row r="6">
      <c r="A6" s="16" t="inlineStr">
        <is>
          <t>Cake Flour (AP proxy)</t>
        </is>
      </c>
      <c r="B6" s="4" t="n">
        <v>9071.799999999999</v>
      </c>
      <c r="C6" s="14" t="inlineStr">
        <is>
          <t>g</t>
        </is>
      </c>
      <c r="D6" s="10" t="n">
        <v>19.99</v>
      </c>
      <c r="E6" s="29">
        <f>IFERROR($D6/$B6,0)</f>
        <v/>
      </c>
      <c r="F6" s="2" t="inlineStr">
        <is>
          <t>Cake Flour is UNPRICED in source; AP flour used</t>
        </is>
      </c>
    </row>
    <row r="7">
      <c r="A7" s="16" t="inlineStr">
        <is>
          <t>Baking Powder</t>
        </is>
      </c>
      <c r="B7" s="4" t="n">
        <v>1814.4</v>
      </c>
      <c r="C7" s="14" t="inlineStr">
        <is>
          <t>g</t>
        </is>
      </c>
      <c r="D7" s="10" t="n">
        <v>14.99</v>
      </c>
      <c r="E7" s="29">
        <f>IFERROR($D7/$B7,0)</f>
        <v/>
      </c>
      <c r="F7" s="2" t="inlineStr">
        <is>
          <t>Costco Clabber Girl 4lb</t>
        </is>
      </c>
    </row>
    <row r="8">
      <c r="A8" s="16" t="inlineStr">
        <is>
          <t>Salt</t>
        </is>
      </c>
      <c r="B8" s="4" t="n">
        <v>850.5</v>
      </c>
      <c r="C8" s="14" t="inlineStr">
        <is>
          <t>g</t>
        </is>
      </c>
      <c r="D8" s="10" t="n">
        <v>3.99</v>
      </c>
      <c r="E8" s="29">
        <f>IFERROR($D8/$B8,0)</f>
        <v/>
      </c>
      <c r="F8" s="2" t="inlineStr">
        <is>
          <t>Costco Kirkland sea salt 30oz</t>
        </is>
      </c>
    </row>
    <row r="9">
      <c r="A9" s="16" t="inlineStr">
        <is>
          <t>Eggs</t>
        </is>
      </c>
      <c r="B9" s="4" t="n">
        <v>3400</v>
      </c>
      <c r="C9" s="14" t="inlineStr">
        <is>
          <t>g</t>
        </is>
      </c>
      <c r="D9" s="10" t="n">
        <v>8.289999999999999</v>
      </c>
      <c r="E9" s="29">
        <f>IFERROR($D9/$B9,0)</f>
        <v/>
      </c>
      <c r="F9" s="2" t="inlineStr">
        <is>
          <t>Costco Kirkland cage free 60ct</t>
        </is>
      </c>
    </row>
    <row r="10">
      <c r="A10" s="16" t="inlineStr">
        <is>
          <t>Sugar</t>
        </is>
      </c>
      <c r="B10" s="4" t="n">
        <v>11340</v>
      </c>
      <c r="C10" s="14" t="inlineStr">
        <is>
          <t>g</t>
        </is>
      </c>
      <c r="D10" s="10" t="n">
        <v>20.19</v>
      </c>
      <c r="E10" s="29">
        <f>IFERROR($D10/$B10,0)</f>
        <v/>
      </c>
      <c r="F10" s="2" t="inlineStr">
        <is>
          <t>Costco C&amp;H 25lb</t>
        </is>
      </c>
    </row>
    <row r="11">
      <c r="A11" s="16" t="inlineStr">
        <is>
          <t>Vanilla Extract</t>
        </is>
      </c>
      <c r="B11" s="4" t="n">
        <v>473</v>
      </c>
      <c r="C11" s="14" t="inlineStr">
        <is>
          <t>ml</t>
        </is>
      </c>
      <c r="D11" s="10" t="n">
        <v>10.87</v>
      </c>
      <c r="E11" s="29">
        <f>IFERROR($D11/$B11,0)</f>
        <v/>
      </c>
      <c r="F11" s="2" t="inlineStr">
        <is>
          <t>Costco Kirkland 16oz</t>
        </is>
      </c>
    </row>
    <row r="12">
      <c r="A12" s="16" t="inlineStr">
        <is>
          <t>Unsalted Butter</t>
        </is>
      </c>
      <c r="B12" s="4" t="n">
        <v>907.2</v>
      </c>
      <c r="C12" s="14" t="inlineStr">
        <is>
          <t>g</t>
        </is>
      </c>
      <c r="D12" s="10" t="n">
        <v>18.49</v>
      </c>
      <c r="E12" s="29">
        <f>IFERROR($D12/$B12,0)</f>
        <v/>
      </c>
      <c r="F12" s="2" t="inlineStr">
        <is>
          <t>Kerrygold 8oz x4</t>
        </is>
      </c>
    </row>
    <row r="13">
      <c r="A13" s="16" t="inlineStr">
        <is>
          <t>Powdered Sugar</t>
        </is>
      </c>
      <c r="B13" s="4" t="n">
        <v>907.2</v>
      </c>
      <c r="C13" s="14" t="inlineStr">
        <is>
          <t>g</t>
        </is>
      </c>
      <c r="D13" s="10" t="n">
        <v>3.89</v>
      </c>
      <c r="E13" s="29">
        <f>IFERROR($D13/$B13,0)</f>
        <v/>
      </c>
      <c r="F13" s="2" t="inlineStr">
        <is>
          <t>glazes</t>
        </is>
      </c>
    </row>
    <row r="14">
      <c r="A14" s="16" t="inlineStr">
        <is>
          <t>Lemon Juice</t>
        </is>
      </c>
      <c r="B14" s="4" t="n">
        <v>2000</v>
      </c>
      <c r="C14" s="14" t="inlineStr">
        <is>
          <t>ml</t>
        </is>
      </c>
      <c r="D14" s="10" t="n">
        <v>9.09</v>
      </c>
      <c r="E14" s="29">
        <f>IFERROR($D14/$B14,0)</f>
        <v/>
      </c>
      <c r="F14" s="2" t="inlineStr">
        <is>
          <t>Lemon Poppy glaze</t>
        </is>
      </c>
    </row>
    <row r="15">
      <c r="A15" s="16" t="inlineStr">
        <is>
          <t>Coconut Milk</t>
        </is>
      </c>
      <c r="B15" s="4" t="n">
        <v>400</v>
      </c>
      <c r="C15" s="14" t="inlineStr">
        <is>
          <t>ml</t>
        </is>
      </c>
      <c r="D15" s="10" t="n">
        <v>2.39</v>
      </c>
      <c r="E15" s="29">
        <f>IFERROR($D15/$B15,0)</f>
        <v/>
      </c>
      <c r="F15" s="2" t="inlineStr">
        <is>
          <t>Ube glaze</t>
        </is>
      </c>
    </row>
    <row r="16">
      <c r="A16" s="16" t="inlineStr">
        <is>
          <t>Ube Extract</t>
        </is>
      </c>
      <c r="B16" s="4" t="n">
        <v>60</v>
      </c>
      <c r="C16" s="14" t="inlineStr">
        <is>
          <t>ml</t>
        </is>
      </c>
      <c r="D16" s="10" t="n">
        <v>6.95</v>
      </c>
      <c r="E16" s="29">
        <f>IFERROR($D16/$B16,0)</f>
        <v/>
      </c>
      <c r="F16" s="2" t="inlineStr">
        <is>
          <t>Ube</t>
        </is>
      </c>
    </row>
    <row r="17">
      <c r="A17" s="16" t="inlineStr">
        <is>
          <t>Cream Cheese</t>
        </is>
      </c>
      <c r="B17" s="4" t="n">
        <v>1360.8</v>
      </c>
      <c r="C17" s="14" t="inlineStr">
        <is>
          <t>g</t>
        </is>
      </c>
      <c r="D17" s="10" t="n">
        <v>10.49</v>
      </c>
      <c r="E17" s="29">
        <f>IFERROR($D17/$B17,0)</f>
        <v/>
      </c>
      <c r="F17" s="2" t="inlineStr">
        <is>
          <t>Dot Cake frosting</t>
        </is>
      </c>
    </row>
    <row r="18">
      <c r="A18" s="16" t="inlineStr">
        <is>
          <t>Nonpareil Sprinkles</t>
        </is>
      </c>
      <c r="B18" s="4" t="n">
        <v>998</v>
      </c>
      <c r="C18" s="14" t="inlineStr">
        <is>
          <t>g</t>
        </is>
      </c>
      <c r="D18" s="10" t="n">
        <v>16.27</v>
      </c>
      <c r="E18" s="29">
        <f>IFERROR($D18/$B18,0)</f>
        <v/>
      </c>
      <c r="F18" s="2" t="inlineStr">
        <is>
          <t>2.2lb bag tops ~100 Dot Cakes</t>
        </is>
      </c>
    </row>
    <row r="19">
      <c r="A19" s="16" t="inlineStr">
        <is>
          <t>Coconut Flakes</t>
        </is>
      </c>
      <c r="B19" s="4" t="n">
        <v>453.6</v>
      </c>
      <c r="C19" s="14" t="inlineStr">
        <is>
          <t>g</t>
        </is>
      </c>
      <c r="D19" s="10" t="n">
        <v>8.59</v>
      </c>
      <c r="E19" s="29">
        <f>IFERROR($D19/$B19,0)</f>
        <v/>
      </c>
      <c r="F19" s="2" t="inlineStr">
        <is>
          <t>1lb bag tops ~150 Ube</t>
        </is>
      </c>
    </row>
    <row r="20">
      <c r="A20" s="16" t="inlineStr">
        <is>
          <t>Matcha Powder</t>
        </is>
      </c>
      <c r="B20" s="4" t="n">
        <v>340</v>
      </c>
      <c r="C20" s="14" t="inlineStr">
        <is>
          <t>g</t>
        </is>
      </c>
      <c r="D20" s="10" t="n">
        <v>18.32</v>
      </c>
      <c r="E20" s="29">
        <f>IFERROR($D20/$B20,0)</f>
        <v/>
      </c>
      <c r="F20" s="2" t="inlineStr">
        <is>
          <t>Matcha</t>
        </is>
      </c>
    </row>
    <row r="21">
      <c r="A21" s="16" t="inlineStr">
        <is>
          <t>Cocoa Powder</t>
        </is>
      </c>
      <c r="B21" s="4" t="n">
        <v>700</v>
      </c>
      <c r="C21" s="14" t="inlineStr">
        <is>
          <t>g</t>
        </is>
      </c>
      <c r="D21" s="10" t="n">
        <v>14.99</v>
      </c>
      <c r="E21" s="29">
        <f>IFERROR($D21/$B21,0)</f>
        <v/>
      </c>
      <c r="F21" s="2" t="inlineStr">
        <is>
          <t>Double Choco</t>
        </is>
      </c>
    </row>
    <row r="23">
      <c r="A23" s="5" t="inlineStr">
        <is>
          <t>B · BASE BATTER, one batch (yields 20 madeleines) — everything except the flour</t>
        </is>
      </c>
      <c r="B23" s="6" t="n"/>
      <c r="C23" s="6" t="n"/>
      <c r="D23" s="6" t="n"/>
      <c r="E23" s="6" t="n"/>
      <c r="F23" s="6" t="n"/>
    </row>
    <row r="24" ht="28" customHeight="1">
      <c r="A24" s="15" t="inlineStr">
        <is>
          <t>Ingredient</t>
        </is>
      </c>
      <c r="B24" s="15" t="inlineStr">
        <is>
          <t>Grams / ml</t>
        </is>
      </c>
      <c r="C24" s="15" t="inlineStr"/>
      <c r="D24" s="15" t="inlineStr">
        <is>
          <t>Cost</t>
        </is>
      </c>
      <c r="E24" s="15" t="inlineStr"/>
      <c r="F24" s="15" t="inlineStr"/>
    </row>
    <row r="25">
      <c r="A25" s="14" t="inlineStr">
        <is>
          <t>Baking Powder</t>
        </is>
      </c>
      <c r="B25" s="4" t="n">
        <v>6</v>
      </c>
      <c r="D25" s="12">
        <f>$B25*$E$7</f>
        <v/>
      </c>
      <c r="F25" s="2" t="inlineStr">
        <is>
          <t>MAD_BASE in kairos.html. Yield 20 = BATCH_YIELD in the app.</t>
        </is>
      </c>
    </row>
    <row r="26">
      <c r="A26" s="14" t="inlineStr">
        <is>
          <t>Salt</t>
        </is>
      </c>
      <c r="B26" s="4" t="n">
        <v>2</v>
      </c>
      <c r="D26" s="12">
        <f>$B26*$E$8</f>
        <v/>
      </c>
    </row>
    <row r="27">
      <c r="A27" s="14" t="inlineStr">
        <is>
          <t>Eggs</t>
        </is>
      </c>
      <c r="B27" s="4" t="n">
        <v>200</v>
      </c>
      <c r="D27" s="12">
        <f>$B27*$E$9</f>
        <v/>
      </c>
    </row>
    <row r="28">
      <c r="A28" s="14" t="inlineStr">
        <is>
          <t>Sugar</t>
        </is>
      </c>
      <c r="B28" s="4" t="n">
        <v>140</v>
      </c>
      <c r="D28" s="12">
        <f>$B28*$E$10</f>
        <v/>
      </c>
    </row>
    <row r="29">
      <c r="A29" s="14" t="inlineStr">
        <is>
          <t>Vanilla Extract</t>
        </is>
      </c>
      <c r="B29" s="4" t="n">
        <v>5</v>
      </c>
      <c r="D29" s="12">
        <f>$B29*$E$11</f>
        <v/>
      </c>
    </row>
    <row r="30">
      <c r="A30" s="14" t="inlineStr">
        <is>
          <t>Unsalted Butter</t>
        </is>
      </c>
      <c r="B30" s="4" t="n">
        <v>200</v>
      </c>
      <c r="D30" s="12">
        <f>$B30*$E$12</f>
        <v/>
      </c>
    </row>
    <row r="31">
      <c r="A31" s="3" t="inlineStr">
        <is>
          <t>Base ex-flour, per batch</t>
        </is>
      </c>
      <c r="D31" s="22">
        <f>SUM($D$25:$D$30)</f>
        <v/>
      </c>
    </row>
    <row r="33">
      <c r="A33" s="5" t="inlineStr">
        <is>
          <t>C · COST PER MADELEINE BY FLAVOR   (ingredients only — no labor, no energy, no packaging)</t>
        </is>
      </c>
      <c r="B33" s="6" t="n"/>
      <c r="C33" s="6" t="n"/>
      <c r="D33" s="6" t="n"/>
      <c r="E33" s="6" t="n"/>
      <c r="F33" s="6" t="n"/>
    </row>
    <row r="34" ht="28" customHeight="1">
      <c r="A34" s="15" t="inlineStr">
        <is>
          <t>Flavor</t>
        </is>
      </c>
      <c r="B34" s="15" t="inlineStr">
        <is>
          <t>Flour g</t>
        </is>
      </c>
      <c r="C34" s="15" t="inlineStr">
        <is>
          <t>Flavoring $/batch</t>
        </is>
      </c>
      <c r="D34" s="15" t="inlineStr">
        <is>
          <t>Glaze $/batch</t>
        </is>
      </c>
      <c r="E34" s="15" t="inlineStr">
        <is>
          <t>Topping $/unit</t>
        </is>
      </c>
      <c r="F34" s="15" t="inlineStr">
        <is>
          <t>Ingredients $/unit</t>
        </is>
      </c>
    </row>
    <row r="35">
      <c r="A35" s="16" t="inlineStr">
        <is>
          <t>Lemon Poppy</t>
        </is>
      </c>
      <c r="B35" s="4" t="n">
        <v>174</v>
      </c>
      <c r="C35" s="12" t="inlineStr">
        <is>
          <t>0</t>
        </is>
      </c>
      <c r="D35" s="12">
        <f>100*$E$13+25*$E$14+4*$E$12</f>
        <v/>
      </c>
      <c r="E35" s="12" t="inlineStr">
        <is>
          <t>0</t>
        </is>
      </c>
      <c r="F35" s="12">
        <f>($D$31+$B35*$E$6+$C35+$D35)/Inputs!$B$24+$E35</f>
        <v/>
      </c>
    </row>
    <row r="36">
      <c r="A36" s="16" t="inlineStr">
        <is>
          <t>Sea Salt / Classic</t>
        </is>
      </c>
      <c r="B36" s="4" t="n">
        <v>174</v>
      </c>
      <c r="C36" s="12" t="inlineStr">
        <is>
          <t>0</t>
        </is>
      </c>
      <c r="D36" s="12" t="inlineStr">
        <is>
          <t>0</t>
        </is>
      </c>
      <c r="E36" s="12" t="inlineStr">
        <is>
          <t>0</t>
        </is>
      </c>
      <c r="F36" s="12">
        <f>($D$31+$B36*$E$6+$C36+$D36)/Inputs!$B$24+$E36</f>
        <v/>
      </c>
    </row>
    <row r="37">
      <c r="A37" s="16" t="inlineStr">
        <is>
          <t>Ube</t>
        </is>
      </c>
      <c r="B37" s="4" t="n">
        <v>134</v>
      </c>
      <c r="C37" s="12">
        <f>2.5*$E$16</f>
        <v/>
      </c>
      <c r="D37" s="12">
        <f>100*$E$13+50*$E$15+1*$E$16</f>
        <v/>
      </c>
      <c r="E37" s="12">
        <f>($B$19/150)*$E$19</f>
        <v/>
      </c>
      <c r="F37" s="12">
        <f>($D$31+$B37*$E$6+$C37+$D37)/Inputs!$B$24+$E37</f>
        <v/>
      </c>
    </row>
    <row r="38">
      <c r="A38" s="16" t="inlineStr">
        <is>
          <t>Dot Cake</t>
        </is>
      </c>
      <c r="B38" s="4" t="n">
        <v>174</v>
      </c>
      <c r="C38" s="12" t="inlineStr">
        <is>
          <t>0</t>
        </is>
      </c>
      <c r="D38" s="12" t="inlineStr">
        <is>
          <t>0</t>
        </is>
      </c>
      <c r="E38" s="12">
        <f>(113/200)*$E$12+(225/200)*$E$17+(70/200)*$E$13+($B$18/100)*$E$18</f>
        <v/>
      </c>
      <c r="F38" s="12">
        <f>($D$31+$B38*$E$6+$C38+$D38)/Inputs!$B$24+$E38</f>
        <v/>
      </c>
    </row>
    <row r="39">
      <c r="A39" s="16" t="inlineStr">
        <is>
          <t>Matcha</t>
        </is>
      </c>
      <c r="B39" s="4" t="n">
        <v>156</v>
      </c>
      <c r="C39" s="12">
        <f>14*$E$20</f>
        <v/>
      </c>
      <c r="D39" s="12" t="inlineStr">
        <is>
          <t>0</t>
        </is>
      </c>
      <c r="E39" s="12" t="inlineStr">
        <is>
          <t>0</t>
        </is>
      </c>
      <c r="F39" s="12">
        <f>($D$31+$B39*$E$6+$C39+$D39)/Inputs!$B$24+$E39</f>
        <v/>
      </c>
    </row>
    <row r="40">
      <c r="A40" s="16" t="inlineStr">
        <is>
          <t>Double Choco</t>
        </is>
      </c>
      <c r="B40" s="4" t="n">
        <v>146</v>
      </c>
      <c r="C40" s="12">
        <f>28*$E$21</f>
        <v/>
      </c>
      <c r="D40" s="12" t="inlineStr">
        <is>
          <t>0</t>
        </is>
      </c>
      <c r="E40" s="12" t="inlineStr">
        <is>
          <t>0</t>
        </is>
      </c>
      <c r="F40" s="12">
        <f>($D$31+$B40*$E$6+$C40+$D40)/Inputs!$B$24+$E40</f>
        <v/>
      </c>
    </row>
    <row r="41">
      <c r="A41" s="3" t="inlineStr">
        <is>
          <t>Average across flavors</t>
        </is>
      </c>
      <c r="F41" s="22">
        <f>AVERAGE($F$35:$F$40)</f>
        <v/>
      </c>
    </row>
    <row r="42">
      <c r="A42" s="2" t="inlineStr">
        <is>
          <t>UNPRICED in the source data: Lemon Extract 4g, Lemon Poppy Seed 6g (Lemon Poppy); Ube Powder 20g (Ube). Add them here if you have prices:</t>
        </is>
      </c>
    </row>
    <row r="43">
      <c r="A43" s="14" t="inlineStr">
        <is>
          <t>Extra flavoring cost per unit, not yet priced</t>
        </is>
      </c>
      <c r="B43" s="30" t="n">
        <v>0</v>
      </c>
    </row>
    <row r="45">
      <c r="A45" s="5" t="inlineStr">
        <is>
          <t>D · TIME COST — labor + commercial kitchen   (minutes are real; the two rates are yours)</t>
        </is>
      </c>
      <c r="B45" s="6" t="n"/>
      <c r="C45" s="6" t="n"/>
      <c r="D45" s="6" t="n"/>
      <c r="E45" s="6" t="n"/>
      <c r="F45" s="6" t="n"/>
    </row>
    <row r="46">
      <c r="A46" s="2">
        <f>" Formula: minutes = "&amp;Inputs!$B$25&amp;" setup + batches x ("&amp;Inputs!$B$26&amp;" prep + "&amp;Inputs!$B$27&amp;" bake).  Batch yield "&amp;Inputs!$B$24&amp;"."</f>
        <v/>
      </c>
    </row>
    <row r="47" ht="28" customHeight="1">
      <c r="A47" s="15" t="inlineStr">
        <is>
          <t>Units baked in a session</t>
        </is>
      </c>
      <c r="B47" s="15" t="inlineStr">
        <is>
          <t>Batches</t>
        </is>
      </c>
      <c r="C47" s="15" t="inlineStr">
        <is>
          <t>Minutes</t>
        </is>
      </c>
      <c r="D47" s="15" t="inlineStr">
        <is>
          <t>Hours</t>
        </is>
      </c>
      <c r="E47" s="15" t="inlineStr">
        <is>
          <t>Labor+kitchen $/unit</t>
        </is>
      </c>
      <c r="F47" s="15" t="inlineStr">
        <is>
          <t>Min/unit</t>
        </is>
      </c>
    </row>
    <row r="48">
      <c r="A48" s="31" t="n">
        <v>10</v>
      </c>
      <c r="B48" s="8">
        <f>ROUNDUP($A48/Inputs!$B$24,0)</f>
        <v/>
      </c>
      <c r="C48" s="8">
        <f>Inputs!$B$25+$B48*(Inputs!$B$26+Inputs!$B$27)</f>
        <v/>
      </c>
      <c r="D48" s="8">
        <f>$C48/60</f>
        <v/>
      </c>
      <c r="E48" s="12">
        <f>IFERROR($D48*Inputs!$B$30/$A48,0)</f>
        <v/>
      </c>
      <c r="F48" s="8">
        <f>IFERROR($C48/$A48,0)</f>
        <v/>
      </c>
    </row>
    <row r="49">
      <c r="A49" s="31" t="n">
        <v>20</v>
      </c>
      <c r="B49" s="8">
        <f>ROUNDUP($A49/Inputs!$B$24,0)</f>
        <v/>
      </c>
      <c r="C49" s="8">
        <f>Inputs!$B$25+$B49*(Inputs!$B$26+Inputs!$B$27)</f>
        <v/>
      </c>
      <c r="D49" s="8">
        <f>$C49/60</f>
        <v/>
      </c>
      <c r="E49" s="12">
        <f>IFERROR($D49*Inputs!$B$30/$A49,0)</f>
        <v/>
      </c>
      <c r="F49" s="8">
        <f>IFERROR($C49/$A49,0)</f>
        <v/>
      </c>
    </row>
    <row r="50">
      <c r="A50" s="31" t="n">
        <v>40</v>
      </c>
      <c r="B50" s="8">
        <f>ROUNDUP($A50/Inputs!$B$24,0)</f>
        <v/>
      </c>
      <c r="C50" s="8">
        <f>Inputs!$B$25+$B50*(Inputs!$B$26+Inputs!$B$27)</f>
        <v/>
      </c>
      <c r="D50" s="8">
        <f>$C50/60</f>
        <v/>
      </c>
      <c r="E50" s="12">
        <f>IFERROR($D50*Inputs!$B$30/$A50,0)</f>
        <v/>
      </c>
      <c r="F50" s="8">
        <f>IFERROR($C50/$A50,0)</f>
        <v/>
      </c>
    </row>
    <row r="51">
      <c r="A51" s="31" t="n">
        <v>50</v>
      </c>
      <c r="B51" s="8">
        <f>ROUNDUP($A51/Inputs!$B$24,0)</f>
        <v/>
      </c>
      <c r="C51" s="8">
        <f>Inputs!$B$25+$B51*(Inputs!$B$26+Inputs!$B$27)</f>
        <v/>
      </c>
      <c r="D51" s="8">
        <f>$C51/60</f>
        <v/>
      </c>
      <c r="E51" s="12">
        <f>IFERROR($D51*Inputs!$B$30/$A51,0)</f>
        <v/>
      </c>
      <c r="F51" s="8">
        <f>IFERROR($C51/$A51,0)</f>
        <v/>
      </c>
    </row>
    <row r="52">
      <c r="A52" s="31" t="n">
        <v>100</v>
      </c>
      <c r="B52" s="8">
        <f>ROUNDUP($A52/Inputs!$B$24,0)</f>
        <v/>
      </c>
      <c r="C52" s="8">
        <f>Inputs!$B$25+$B52*(Inputs!$B$26+Inputs!$B$27)</f>
        <v/>
      </c>
      <c r="D52" s="8">
        <f>$C52/60</f>
        <v/>
      </c>
      <c r="E52" s="12">
        <f>IFERROR($D52*Inputs!$B$30/$A52,0)</f>
        <v/>
      </c>
      <c r="F52" s="8">
        <f>IFERROR($C52/$A52,0)</f>
        <v/>
      </c>
    </row>
    <row r="53">
      <c r="A53" s="31" t="n">
        <v>200</v>
      </c>
      <c r="B53" s="8">
        <f>ROUNDUP($A53/Inputs!$B$24,0)</f>
        <v/>
      </c>
      <c r="C53" s="8">
        <f>Inputs!$B$25+$B53*(Inputs!$B$26+Inputs!$B$27)</f>
        <v/>
      </c>
      <c r="D53" s="8">
        <f>$C53/60</f>
        <v/>
      </c>
      <c r="E53" s="12">
        <f>IFERROR($D53*Inputs!$B$30/$A53,0)</f>
        <v/>
      </c>
      <c r="F53" s="8">
        <f>IFERROR($C53/$A53,0)</f>
        <v/>
      </c>
    </row>
    <row r="54">
      <c r="A54" s="31" t="n">
        <v>300</v>
      </c>
      <c r="B54" s="8">
        <f>ROUNDUP($A54/Inputs!$B$24,0)</f>
        <v/>
      </c>
      <c r="C54" s="8">
        <f>Inputs!$B$25+$B54*(Inputs!$B$26+Inputs!$B$27)</f>
        <v/>
      </c>
      <c r="D54" s="8">
        <f>$C54/60</f>
        <v/>
      </c>
      <c r="E54" s="12">
        <f>IFERROR($D54*Inputs!$B$30/$A54,0)</f>
        <v/>
      </c>
      <c r="F54" s="8">
        <f>IFERROR($C54/$A54,0)</f>
        <v/>
      </c>
    </row>
    <row r="56">
      <c r="A56" s="3" t="inlineStr">
        <is>
          <t>Time cost $/unit used in the stack below</t>
        </is>
      </c>
      <c r="B56" s="8">
        <f>Inputs!$B$12</f>
        <v/>
      </c>
      <c r="C56" s="2" t="inlineStr">
        <is>
          <t>units/day/item, active scenario</t>
        </is>
      </c>
      <c r="D56" s="22">
        <f>(Inputs!$B$25+ROUNDUP($B$56/Inputs!$B$24,0)*(Inputs!$B$26+Inputs!$B$27))/60*Inputs!$B$30/$B$56</f>
        <v/>
      </c>
    </row>
    <row r="58">
      <c r="A58" s="5" t="inlineStr">
        <is>
          <t>E · EVERYTHING THE RECIPE DATA DOES NOT INCLUDE   (all assumptions — set these)</t>
        </is>
      </c>
      <c r="B58" s="6" t="n"/>
      <c r="C58" s="6" t="n"/>
      <c r="D58" s="6" t="n"/>
      <c r="E58" s="6" t="n"/>
      <c r="F58" s="6" t="n"/>
    </row>
    <row r="59">
      <c r="A59" s="2" t="inlineStr">
        <is>
          <t>The source costing has ingredients only. There is no electricity, gas, packaging, rent, or overhead anywhere in it. Fill these in:</t>
        </is>
      </c>
    </row>
    <row r="60" ht="28" customHeight="1">
      <c r="A60" s="15" t="inlineStr">
        <is>
          <t>Line</t>
        </is>
      </c>
      <c r="B60" s="15" t="inlineStr">
        <is>
          <t>Input</t>
        </is>
      </c>
      <c r="C60" s="15" t="inlineStr">
        <is>
          <t>Unit</t>
        </is>
      </c>
      <c r="D60" s="15" t="inlineStr">
        <is>
          <t>$ per madeleine</t>
        </is>
      </c>
      <c r="E60" s="15" t="inlineStr"/>
      <c r="F60" s="15" t="inlineStr">
        <is>
          <t>Basis / how to set it</t>
        </is>
      </c>
    </row>
    <row r="61">
      <c r="A61" s="16" t="inlineStr">
        <is>
          <t>Oven power draw</t>
        </is>
      </c>
      <c r="B61" s="13" t="n">
        <v>2.5</v>
      </c>
      <c r="C61" s="14" t="inlineStr">
        <is>
          <t>kW</t>
        </is>
      </c>
      <c r="D61" s="12">
        <f>$B$61*((Inputs!$B$25+ROUNDUP($B$56/Inputs!$B$24,0)*Inputs!$B$27)/60)*$B$62/$B$56</f>
        <v/>
      </c>
      <c r="E61" s="2" t="inlineStr">
        <is>
          <t>oven on for setup + bake only</t>
        </is>
      </c>
      <c r="F61" s="2" t="inlineStr">
        <is>
          <t>Typical convection deck oven. Measure yours.</t>
        </is>
      </c>
    </row>
    <row r="62">
      <c r="A62" s="16" t="inlineStr">
        <is>
          <t>Electricity rate</t>
        </is>
      </c>
      <c r="B62" s="13" t="n">
        <v>0.32</v>
      </c>
      <c r="C62" s="14" t="inlineStr">
        <is>
          <t>$/kWh</t>
        </is>
      </c>
      <c r="F62" s="2" t="inlineStr">
        <is>
          <t>SCE commercial ballpark, Aug 2026. Check your bill.</t>
        </is>
      </c>
    </row>
    <row r="63">
      <c r="A63" s="16" t="inlineStr">
        <is>
          <t>Packaging per unit</t>
        </is>
      </c>
      <c r="B63" s="13" t="n">
        <v>0.15</v>
      </c>
      <c r="C63" s="14" t="inlineStr">
        <is>
          <t>$</t>
        </is>
      </c>
      <c r="D63" s="12">
        <f>$B$63</f>
        <v/>
      </c>
      <c r="F63" s="2" t="inlineStr">
        <is>
          <t>Sleeve / box / label / sticker. Wholesale often needs more.</t>
        </is>
      </c>
    </row>
    <row r="64">
      <c r="A64" s="16" t="inlineStr">
        <is>
          <t>Delivery per unit</t>
        </is>
      </c>
      <c r="B64" s="13" t="n">
        <v>0.1</v>
      </c>
      <c r="C64" s="14" t="inlineStr">
        <is>
          <t>$</t>
        </is>
      </c>
      <c r="D64" s="12">
        <f>$B$64</f>
        <v/>
      </c>
      <c r="F64" s="2" t="inlineStr">
        <is>
          <t>Fuel and driver time to the wholesale account.</t>
        </is>
      </c>
    </row>
    <row r="65">
      <c r="A65" s="16" t="inlineStr">
        <is>
          <t>Other overhead</t>
        </is>
      </c>
      <c r="B65" s="13" t="n">
        <v>0</v>
      </c>
      <c r="C65" s="14" t="inlineStr">
        <is>
          <t>$</t>
        </is>
      </c>
      <c r="D65" s="12">
        <f>$B$65</f>
        <v/>
      </c>
      <c r="F65" s="2" t="inlineStr">
        <is>
          <t>Kitchen rent is now charged hourly above — put only non-kitchen overhead here.</t>
        </is>
      </c>
    </row>
    <row r="66">
      <c r="A66" s="16" t="inlineStr">
        <is>
          <t>Waste / shrink</t>
        </is>
      </c>
      <c r="B66" s="32" t="n">
        <v>0.05</v>
      </c>
      <c r="C66" s="14" t="inlineStr">
        <is>
          <t>%</t>
        </is>
      </c>
      <c r="F66" s="2" t="inlineStr">
        <is>
          <t>Fraction baked but not sold. Uplifts every cost above.</t>
        </is>
      </c>
    </row>
    <row r="68">
      <c r="A68" s="5" t="inlineStr">
        <is>
          <t>F · ALL-IN COST PER MADELEINE</t>
        </is>
      </c>
      <c r="B68" s="6" t="n"/>
      <c r="C68" s="6" t="n"/>
      <c r="D68" s="6" t="n"/>
      <c r="E68" s="6" t="n"/>
      <c r="F68" s="6" t="n"/>
    </row>
    <row r="69" ht="28" customHeight="1">
      <c r="A69" s="15" t="inlineStr">
        <is>
          <t>Component</t>
        </is>
      </c>
      <c r="B69" s="15" t="inlineStr"/>
      <c r="C69" s="15" t="inlineStr"/>
      <c r="D69" s="15" t="inlineStr">
        <is>
          <t>$ per unit</t>
        </is>
      </c>
      <c r="E69" s="15" t="inlineStr"/>
      <c r="F69" s="15" t="inlineStr">
        <is>
          <t>Source</t>
        </is>
      </c>
    </row>
    <row r="70">
      <c r="A70" s="16" t="inlineStr">
        <is>
          <t>Ingredients (recipe average)</t>
        </is>
      </c>
      <c r="D70" s="12">
        <f>$F$41+$B$43</f>
        <v/>
      </c>
      <c r="F70" s="2" t="inlineStr">
        <is>
          <t>REAL — kairos.html recipes and prices</t>
        </is>
      </c>
    </row>
    <row r="71">
      <c r="A71" s="16" t="inlineStr">
        <is>
          <t>Labor + commercial kitchen</t>
        </is>
      </c>
      <c r="D71" s="12">
        <f>IF(Inputs!$B$21="Yes",$D$56,0)</f>
        <v/>
      </c>
      <c r="F71" s="2" t="inlineStr">
        <is>
          <t>REAL minutes x ($30 labor + $50 kitchen)</t>
        </is>
      </c>
    </row>
    <row r="72">
      <c r="A72" s="16" t="inlineStr">
        <is>
          <t>Oven electricity</t>
        </is>
      </c>
      <c r="D72" s="12">
        <f>$D$61</f>
        <v/>
      </c>
      <c r="F72" s="2" t="inlineStr">
        <is>
          <t>ASSUMPTION</t>
        </is>
      </c>
    </row>
    <row r="73">
      <c r="A73" s="16" t="inlineStr">
        <is>
          <t>Packaging</t>
        </is>
      </c>
      <c r="D73" s="12">
        <f>$D$63</f>
        <v/>
      </c>
      <c r="F73" s="2" t="inlineStr">
        <is>
          <t>ASSUMPTION</t>
        </is>
      </c>
    </row>
    <row r="74">
      <c r="A74" s="16" t="inlineStr">
        <is>
          <t>Delivery</t>
        </is>
      </c>
      <c r="D74" s="12">
        <f>$D$64</f>
        <v/>
      </c>
      <c r="F74" s="2" t="inlineStr">
        <is>
          <t>ASSUMPTION</t>
        </is>
      </c>
    </row>
    <row r="75">
      <c r="A75" s="16" t="inlineStr">
        <is>
          <t>Overhead allocation</t>
        </is>
      </c>
      <c r="D75" s="12">
        <f>$D$65</f>
        <v/>
      </c>
      <c r="F75" s="2" t="inlineStr">
        <is>
          <t>ASSUMPTION</t>
        </is>
      </c>
    </row>
    <row r="76">
      <c r="A76" s="3" t="inlineStr">
        <is>
          <t>ALL-IN COST PER UNIT</t>
        </is>
      </c>
      <c r="D76" s="22">
        <f>SUM($D$70:$D$75)*(1+$B$66)</f>
        <v/>
      </c>
      <c r="F76" s="2" t="inlineStr">
        <is>
          <t>waste uplift applied to the whole stack</t>
        </is>
      </c>
    </row>
    <row r="77">
      <c r="A77" s="14" t="inlineStr">
        <is>
          <t>Your flat assumption</t>
        </is>
      </c>
      <c r="D77" s="11">
        <f>Inputs!$B$17</f>
        <v/>
      </c>
    </row>
    <row r="78">
      <c r="A78" s="3" t="inlineStr">
        <is>
          <t>Difference (all-in vs flat)</t>
        </is>
      </c>
      <c r="D78" s="22">
        <f>$D$76-$D$77</f>
        <v/>
      </c>
    </row>
    <row r="79">
      <c r="A79" s="14" t="inlineStr">
        <is>
          <t>Wholesale price at 50% of a $5 MSRP</t>
        </is>
      </c>
      <c r="D79" s="12">
        <f>5*Inputs!$B$14</f>
        <v/>
      </c>
    </row>
    <row r="80">
      <c r="A80" s="3" t="inlineStr">
        <is>
          <t>Contribution per unit at that price</t>
        </is>
      </c>
      <c r="D80" s="22">
        <f>$D$79-$D$76</f>
        <v/>
      </c>
    </row>
    <row r="81">
      <c r="A81" s="3" t="inlineStr">
        <is>
          <t>Gross margin % at that price</t>
        </is>
      </c>
      <c r="D81" s="23">
        <f>IFERROR($D$80/$D$79,0)</f>
        <v/>
      </c>
    </row>
    <row r="82">
      <c r="A82" s="5" t="inlineStr">
        <is>
          <t>G · MATERIALS + CONSUMABLES ONLY (ex labor and kitchen) — this is what feeds Inputs!B19</t>
        </is>
      </c>
      <c r="B82" s="6" t="n"/>
      <c r="C82" s="6" t="n"/>
      <c r="D82" s="6" t="n"/>
      <c r="E82" s="6" t="n"/>
      <c r="F82" s="6" t="n"/>
    </row>
    <row r="83">
      <c r="A83" s="3" t="inlineStr">
        <is>
          <t>Materials + consumables per unit</t>
        </is>
      </c>
      <c r="D83" s="22">
        <f>($D$70+$D$72+$D$73+$D$74+$D$75)*(1+$B$66)</f>
        <v/>
      </c>
      <c r="F83" s="2" t="inlineStr">
        <is>
          <t>ingredients + electricity + packaging + delivery + overhead, waste-uplifted. Time is charged hourly in Scaling instead.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SENSITIVITY — annual profit at 5 items</t>
        </is>
      </c>
    </row>
    <row r="2">
      <c r="A2" s="2" t="inlineStr">
        <is>
          <t>Rows = units/day per item. Columns = wholesale % of MSRP. Uses the bake frequency, setup treatment and cost basis set on Inputs.</t>
        </is>
      </c>
    </row>
    <row r="3">
      <c r="A3" s="3">
        <f>" At "&amp;TEXT(Inputs!$B$32,"0")&amp;" bake sessions/week, setup "&amp;Inputs!$B$31&amp;", materials $"&amp;TEXT(Inputs!$B$20,"0.00")&amp;"/unit, time $"&amp;TEXT(Inputs!$B$30,"0")&amp;"/hr"</f>
        <v/>
      </c>
    </row>
    <row r="4">
      <c r="B4" s="9" t="n">
        <v>0.4</v>
      </c>
      <c r="C4" s="9" t="n">
        <v>0.45</v>
      </c>
      <c r="D4" s="9" t="n">
        <v>0.5</v>
      </c>
      <c r="E4" s="9" t="n">
        <v>0.55</v>
      </c>
      <c r="F4" s="9" t="n">
        <v>0.6</v>
      </c>
    </row>
    <row r="5" ht="28" customHeight="1">
      <c r="A5" s="15" t="inlineStr">
        <is>
          <t>Units/day per item</t>
        </is>
      </c>
      <c r="B5" s="15" t="inlineStr">
        <is>
          <t>40%</t>
        </is>
      </c>
      <c r="C5" s="15" t="inlineStr">
        <is>
          <t>45%</t>
        </is>
      </c>
      <c r="D5" s="15" t="inlineStr">
        <is>
          <t>50%</t>
        </is>
      </c>
      <c r="E5" s="15" t="inlineStr">
        <is>
          <t>55%</t>
        </is>
      </c>
      <c r="F5" s="15" t="inlineStr">
        <is>
          <t>60%</t>
        </is>
      </c>
    </row>
    <row r="6">
      <c r="A6" s="4" t="n">
        <v>5</v>
      </c>
      <c r="B6" s="26">
        <f>(Inputs!$B$22*$A6*7*SUM(Items!$C$5:$C$9)*B$4-Inputs!$B$22*$A6*7*5*Inputs!$B$20-IF(Inputs!$B$21="Yes",IF(Inputs!$B$31="Shared",Inputs!$B$32*(Inputs!$B$25+5*ROUNDUP(Inputs!$B$22*$A6*7/Inputs!$B$32/Inputs!$B$24,0)*(Inputs!$B$26+Inputs!$B$27))/60,Inputs!$B$32*5*(Inputs!$B$25+ROUNDUP(Inputs!$B$22*$A6*7/Inputs!$B$32/Inputs!$B$24,0)*(Inputs!$B$26+Inputs!$B$27))/60)*Inputs!$B$30,0))*52</f>
        <v/>
      </c>
      <c r="C6" s="26">
        <f>(Inputs!$B$22*$A6*7*SUM(Items!$C$5:$C$9)*C$4-Inputs!$B$22*$A6*7*5*Inputs!$B$20-IF(Inputs!$B$21="Yes",IF(Inputs!$B$31="Shared",Inputs!$B$32*(Inputs!$B$25+5*ROUNDUP(Inputs!$B$22*$A6*7/Inputs!$B$32/Inputs!$B$24,0)*(Inputs!$B$26+Inputs!$B$27))/60,Inputs!$B$32*5*(Inputs!$B$25+ROUNDUP(Inputs!$B$22*$A6*7/Inputs!$B$32/Inputs!$B$24,0)*(Inputs!$B$26+Inputs!$B$27))/60)*Inputs!$B$30,0))*52</f>
        <v/>
      </c>
      <c r="D6" s="26">
        <f>(Inputs!$B$22*$A6*7*SUM(Items!$C$5:$C$9)*D$4-Inputs!$B$22*$A6*7*5*Inputs!$B$20-IF(Inputs!$B$21="Yes",IF(Inputs!$B$31="Shared",Inputs!$B$32*(Inputs!$B$25+5*ROUNDUP(Inputs!$B$22*$A6*7/Inputs!$B$32/Inputs!$B$24,0)*(Inputs!$B$26+Inputs!$B$27))/60,Inputs!$B$32*5*(Inputs!$B$25+ROUNDUP(Inputs!$B$22*$A6*7/Inputs!$B$32/Inputs!$B$24,0)*(Inputs!$B$26+Inputs!$B$27))/60)*Inputs!$B$30,0))*52</f>
        <v/>
      </c>
      <c r="E6" s="26">
        <f>(Inputs!$B$22*$A6*7*SUM(Items!$C$5:$C$9)*E$4-Inputs!$B$22*$A6*7*5*Inputs!$B$20-IF(Inputs!$B$21="Yes",IF(Inputs!$B$31="Shared",Inputs!$B$32*(Inputs!$B$25+5*ROUNDUP(Inputs!$B$22*$A6*7/Inputs!$B$32/Inputs!$B$24,0)*(Inputs!$B$26+Inputs!$B$27))/60,Inputs!$B$32*5*(Inputs!$B$25+ROUNDUP(Inputs!$B$22*$A6*7/Inputs!$B$32/Inputs!$B$24,0)*(Inputs!$B$26+Inputs!$B$27))/60)*Inputs!$B$30,0))*52</f>
        <v/>
      </c>
      <c r="F6" s="26">
        <f>(Inputs!$B$22*$A6*7*SUM(Items!$C$5:$C$9)*F$4-Inputs!$B$22*$A6*7*5*Inputs!$B$20-IF(Inputs!$B$21="Yes",IF(Inputs!$B$31="Shared",Inputs!$B$32*(Inputs!$B$25+5*ROUNDUP(Inputs!$B$22*$A6*7/Inputs!$B$32/Inputs!$B$24,0)*(Inputs!$B$26+Inputs!$B$27))/60,Inputs!$B$32*5*(Inputs!$B$25+ROUNDUP(Inputs!$B$22*$A6*7/Inputs!$B$32/Inputs!$B$24,0)*(Inputs!$B$26+Inputs!$B$27))/60)*Inputs!$B$30,0))*52</f>
        <v/>
      </c>
    </row>
    <row r="7">
      <c r="A7" s="4" t="n">
        <v>7</v>
      </c>
      <c r="B7" s="26">
        <f>(Inputs!$B$22*$A7*7*SUM(Items!$C$5:$C$9)*B$4-Inputs!$B$22*$A7*7*5*Inputs!$B$20-IF(Inputs!$B$21="Yes",IF(Inputs!$B$31="Shared",Inputs!$B$32*(Inputs!$B$25+5*ROUNDUP(Inputs!$B$22*$A7*7/Inputs!$B$32/Inputs!$B$24,0)*(Inputs!$B$26+Inputs!$B$27))/60,Inputs!$B$32*5*(Inputs!$B$25+ROUNDUP(Inputs!$B$22*$A7*7/Inputs!$B$32/Inputs!$B$24,0)*(Inputs!$B$26+Inputs!$B$27))/60)*Inputs!$B$30,0))*52</f>
        <v/>
      </c>
      <c r="C7" s="26">
        <f>(Inputs!$B$22*$A7*7*SUM(Items!$C$5:$C$9)*C$4-Inputs!$B$22*$A7*7*5*Inputs!$B$20-IF(Inputs!$B$21="Yes",IF(Inputs!$B$31="Shared",Inputs!$B$32*(Inputs!$B$25+5*ROUNDUP(Inputs!$B$22*$A7*7/Inputs!$B$32/Inputs!$B$24,0)*(Inputs!$B$26+Inputs!$B$27))/60,Inputs!$B$32*5*(Inputs!$B$25+ROUNDUP(Inputs!$B$22*$A7*7/Inputs!$B$32/Inputs!$B$24,0)*(Inputs!$B$26+Inputs!$B$27))/60)*Inputs!$B$30,0))*52</f>
        <v/>
      </c>
      <c r="D7" s="26">
        <f>(Inputs!$B$22*$A7*7*SUM(Items!$C$5:$C$9)*D$4-Inputs!$B$22*$A7*7*5*Inputs!$B$20-IF(Inputs!$B$21="Yes",IF(Inputs!$B$31="Shared",Inputs!$B$32*(Inputs!$B$25+5*ROUNDUP(Inputs!$B$22*$A7*7/Inputs!$B$32/Inputs!$B$24,0)*(Inputs!$B$26+Inputs!$B$27))/60,Inputs!$B$32*5*(Inputs!$B$25+ROUNDUP(Inputs!$B$22*$A7*7/Inputs!$B$32/Inputs!$B$24,0)*(Inputs!$B$26+Inputs!$B$27))/60)*Inputs!$B$30,0))*52</f>
        <v/>
      </c>
      <c r="E7" s="26">
        <f>(Inputs!$B$22*$A7*7*SUM(Items!$C$5:$C$9)*E$4-Inputs!$B$22*$A7*7*5*Inputs!$B$20-IF(Inputs!$B$21="Yes",IF(Inputs!$B$31="Shared",Inputs!$B$32*(Inputs!$B$25+5*ROUNDUP(Inputs!$B$22*$A7*7/Inputs!$B$32/Inputs!$B$24,0)*(Inputs!$B$26+Inputs!$B$27))/60,Inputs!$B$32*5*(Inputs!$B$25+ROUNDUP(Inputs!$B$22*$A7*7/Inputs!$B$32/Inputs!$B$24,0)*(Inputs!$B$26+Inputs!$B$27))/60)*Inputs!$B$30,0))*52</f>
        <v/>
      </c>
      <c r="F7" s="26">
        <f>(Inputs!$B$22*$A7*7*SUM(Items!$C$5:$C$9)*F$4-Inputs!$B$22*$A7*7*5*Inputs!$B$20-IF(Inputs!$B$21="Yes",IF(Inputs!$B$31="Shared",Inputs!$B$32*(Inputs!$B$25+5*ROUNDUP(Inputs!$B$22*$A7*7/Inputs!$B$32/Inputs!$B$24,0)*(Inputs!$B$26+Inputs!$B$27))/60,Inputs!$B$32*5*(Inputs!$B$25+ROUNDUP(Inputs!$B$22*$A7*7/Inputs!$B$32/Inputs!$B$24,0)*(Inputs!$B$26+Inputs!$B$27))/60)*Inputs!$B$30,0))*52</f>
        <v/>
      </c>
    </row>
    <row r="8">
      <c r="A8" s="4" t="n">
        <v>10</v>
      </c>
      <c r="B8" s="26">
        <f>(Inputs!$B$22*$A8*7*SUM(Items!$C$5:$C$9)*B$4-Inputs!$B$22*$A8*7*5*Inputs!$B$20-IF(Inputs!$B$21="Yes",IF(Inputs!$B$31="Shared",Inputs!$B$32*(Inputs!$B$25+5*ROUNDUP(Inputs!$B$22*$A8*7/Inputs!$B$32/Inputs!$B$24,0)*(Inputs!$B$26+Inputs!$B$27))/60,Inputs!$B$32*5*(Inputs!$B$25+ROUNDUP(Inputs!$B$22*$A8*7/Inputs!$B$32/Inputs!$B$24,0)*(Inputs!$B$26+Inputs!$B$27))/60)*Inputs!$B$30,0))*52</f>
        <v/>
      </c>
      <c r="C8" s="26">
        <f>(Inputs!$B$22*$A8*7*SUM(Items!$C$5:$C$9)*C$4-Inputs!$B$22*$A8*7*5*Inputs!$B$20-IF(Inputs!$B$21="Yes",IF(Inputs!$B$31="Shared",Inputs!$B$32*(Inputs!$B$25+5*ROUNDUP(Inputs!$B$22*$A8*7/Inputs!$B$32/Inputs!$B$24,0)*(Inputs!$B$26+Inputs!$B$27))/60,Inputs!$B$32*5*(Inputs!$B$25+ROUNDUP(Inputs!$B$22*$A8*7/Inputs!$B$32/Inputs!$B$24,0)*(Inputs!$B$26+Inputs!$B$27))/60)*Inputs!$B$30,0))*52</f>
        <v/>
      </c>
      <c r="D8" s="26">
        <f>(Inputs!$B$22*$A8*7*SUM(Items!$C$5:$C$9)*D$4-Inputs!$B$22*$A8*7*5*Inputs!$B$20-IF(Inputs!$B$21="Yes",IF(Inputs!$B$31="Shared",Inputs!$B$32*(Inputs!$B$25+5*ROUNDUP(Inputs!$B$22*$A8*7/Inputs!$B$32/Inputs!$B$24,0)*(Inputs!$B$26+Inputs!$B$27))/60,Inputs!$B$32*5*(Inputs!$B$25+ROUNDUP(Inputs!$B$22*$A8*7/Inputs!$B$32/Inputs!$B$24,0)*(Inputs!$B$26+Inputs!$B$27))/60)*Inputs!$B$30,0))*52</f>
        <v/>
      </c>
      <c r="E8" s="26">
        <f>(Inputs!$B$22*$A8*7*SUM(Items!$C$5:$C$9)*E$4-Inputs!$B$22*$A8*7*5*Inputs!$B$20-IF(Inputs!$B$21="Yes",IF(Inputs!$B$31="Shared",Inputs!$B$32*(Inputs!$B$25+5*ROUNDUP(Inputs!$B$22*$A8*7/Inputs!$B$32/Inputs!$B$24,0)*(Inputs!$B$26+Inputs!$B$27))/60,Inputs!$B$32*5*(Inputs!$B$25+ROUNDUP(Inputs!$B$22*$A8*7/Inputs!$B$32/Inputs!$B$24,0)*(Inputs!$B$26+Inputs!$B$27))/60)*Inputs!$B$30,0))*52</f>
        <v/>
      </c>
      <c r="F8" s="26">
        <f>(Inputs!$B$22*$A8*7*SUM(Items!$C$5:$C$9)*F$4-Inputs!$B$22*$A8*7*5*Inputs!$B$20-IF(Inputs!$B$21="Yes",IF(Inputs!$B$31="Shared",Inputs!$B$32*(Inputs!$B$25+5*ROUNDUP(Inputs!$B$22*$A8*7/Inputs!$B$32/Inputs!$B$24,0)*(Inputs!$B$26+Inputs!$B$27))/60,Inputs!$B$32*5*(Inputs!$B$25+ROUNDUP(Inputs!$B$22*$A8*7/Inputs!$B$32/Inputs!$B$24,0)*(Inputs!$B$26+Inputs!$B$27))/60)*Inputs!$B$30,0))*52</f>
        <v/>
      </c>
    </row>
    <row r="9">
      <c r="A9" s="4" t="n">
        <v>15</v>
      </c>
      <c r="B9" s="26">
        <f>(Inputs!$B$22*$A9*7*SUM(Items!$C$5:$C$9)*B$4-Inputs!$B$22*$A9*7*5*Inputs!$B$20-IF(Inputs!$B$21="Yes",IF(Inputs!$B$31="Shared",Inputs!$B$32*(Inputs!$B$25+5*ROUNDUP(Inputs!$B$22*$A9*7/Inputs!$B$32/Inputs!$B$24,0)*(Inputs!$B$26+Inputs!$B$27))/60,Inputs!$B$32*5*(Inputs!$B$25+ROUNDUP(Inputs!$B$22*$A9*7/Inputs!$B$32/Inputs!$B$24,0)*(Inputs!$B$26+Inputs!$B$27))/60)*Inputs!$B$30,0))*52</f>
        <v/>
      </c>
      <c r="C9" s="26">
        <f>(Inputs!$B$22*$A9*7*SUM(Items!$C$5:$C$9)*C$4-Inputs!$B$22*$A9*7*5*Inputs!$B$20-IF(Inputs!$B$21="Yes",IF(Inputs!$B$31="Shared",Inputs!$B$32*(Inputs!$B$25+5*ROUNDUP(Inputs!$B$22*$A9*7/Inputs!$B$32/Inputs!$B$24,0)*(Inputs!$B$26+Inputs!$B$27))/60,Inputs!$B$32*5*(Inputs!$B$25+ROUNDUP(Inputs!$B$22*$A9*7/Inputs!$B$32/Inputs!$B$24,0)*(Inputs!$B$26+Inputs!$B$27))/60)*Inputs!$B$30,0))*52</f>
        <v/>
      </c>
      <c r="D9" s="26">
        <f>(Inputs!$B$22*$A9*7*SUM(Items!$C$5:$C$9)*D$4-Inputs!$B$22*$A9*7*5*Inputs!$B$20-IF(Inputs!$B$21="Yes",IF(Inputs!$B$31="Shared",Inputs!$B$32*(Inputs!$B$25+5*ROUNDUP(Inputs!$B$22*$A9*7/Inputs!$B$32/Inputs!$B$24,0)*(Inputs!$B$26+Inputs!$B$27))/60,Inputs!$B$32*5*(Inputs!$B$25+ROUNDUP(Inputs!$B$22*$A9*7/Inputs!$B$32/Inputs!$B$24,0)*(Inputs!$B$26+Inputs!$B$27))/60)*Inputs!$B$30,0))*52</f>
        <v/>
      </c>
      <c r="E9" s="26">
        <f>(Inputs!$B$22*$A9*7*SUM(Items!$C$5:$C$9)*E$4-Inputs!$B$22*$A9*7*5*Inputs!$B$20-IF(Inputs!$B$21="Yes",IF(Inputs!$B$31="Shared",Inputs!$B$32*(Inputs!$B$25+5*ROUNDUP(Inputs!$B$22*$A9*7/Inputs!$B$32/Inputs!$B$24,0)*(Inputs!$B$26+Inputs!$B$27))/60,Inputs!$B$32*5*(Inputs!$B$25+ROUNDUP(Inputs!$B$22*$A9*7/Inputs!$B$32/Inputs!$B$24,0)*(Inputs!$B$26+Inputs!$B$27))/60)*Inputs!$B$30,0))*52</f>
        <v/>
      </c>
      <c r="F9" s="26">
        <f>(Inputs!$B$22*$A9*7*SUM(Items!$C$5:$C$9)*F$4-Inputs!$B$22*$A9*7*5*Inputs!$B$20-IF(Inputs!$B$21="Yes",IF(Inputs!$B$31="Shared",Inputs!$B$32*(Inputs!$B$25+5*ROUNDUP(Inputs!$B$22*$A9*7/Inputs!$B$32/Inputs!$B$24,0)*(Inputs!$B$26+Inputs!$B$27))/60,Inputs!$B$32*5*(Inputs!$B$25+ROUNDUP(Inputs!$B$22*$A9*7/Inputs!$B$32/Inputs!$B$24,0)*(Inputs!$B$26+Inputs!$B$27))/60)*Inputs!$B$30,0))*52</f>
        <v/>
      </c>
    </row>
    <row r="10">
      <c r="A10" s="4" t="n">
        <v>20</v>
      </c>
      <c r="B10" s="26">
        <f>(Inputs!$B$22*$A10*7*SUM(Items!$C$5:$C$9)*B$4-Inputs!$B$22*$A10*7*5*Inputs!$B$20-IF(Inputs!$B$21="Yes",IF(Inputs!$B$31="Shared",Inputs!$B$32*(Inputs!$B$25+5*ROUNDUP(Inputs!$B$22*$A10*7/Inputs!$B$32/Inputs!$B$24,0)*(Inputs!$B$26+Inputs!$B$27))/60,Inputs!$B$32*5*(Inputs!$B$25+ROUNDUP(Inputs!$B$22*$A10*7/Inputs!$B$32/Inputs!$B$24,0)*(Inputs!$B$26+Inputs!$B$27))/60)*Inputs!$B$30,0))*52</f>
        <v/>
      </c>
      <c r="C10" s="26">
        <f>(Inputs!$B$22*$A10*7*SUM(Items!$C$5:$C$9)*C$4-Inputs!$B$22*$A10*7*5*Inputs!$B$20-IF(Inputs!$B$21="Yes",IF(Inputs!$B$31="Shared",Inputs!$B$32*(Inputs!$B$25+5*ROUNDUP(Inputs!$B$22*$A10*7/Inputs!$B$32/Inputs!$B$24,0)*(Inputs!$B$26+Inputs!$B$27))/60,Inputs!$B$32*5*(Inputs!$B$25+ROUNDUP(Inputs!$B$22*$A10*7/Inputs!$B$32/Inputs!$B$24,0)*(Inputs!$B$26+Inputs!$B$27))/60)*Inputs!$B$30,0))*52</f>
        <v/>
      </c>
      <c r="D10" s="26">
        <f>(Inputs!$B$22*$A10*7*SUM(Items!$C$5:$C$9)*D$4-Inputs!$B$22*$A10*7*5*Inputs!$B$20-IF(Inputs!$B$21="Yes",IF(Inputs!$B$31="Shared",Inputs!$B$32*(Inputs!$B$25+5*ROUNDUP(Inputs!$B$22*$A10*7/Inputs!$B$32/Inputs!$B$24,0)*(Inputs!$B$26+Inputs!$B$27))/60,Inputs!$B$32*5*(Inputs!$B$25+ROUNDUP(Inputs!$B$22*$A10*7/Inputs!$B$32/Inputs!$B$24,0)*(Inputs!$B$26+Inputs!$B$27))/60)*Inputs!$B$30,0))*52</f>
        <v/>
      </c>
      <c r="E10" s="26">
        <f>(Inputs!$B$22*$A10*7*SUM(Items!$C$5:$C$9)*E$4-Inputs!$B$22*$A10*7*5*Inputs!$B$20-IF(Inputs!$B$21="Yes",IF(Inputs!$B$31="Shared",Inputs!$B$32*(Inputs!$B$25+5*ROUNDUP(Inputs!$B$22*$A10*7/Inputs!$B$32/Inputs!$B$24,0)*(Inputs!$B$26+Inputs!$B$27))/60,Inputs!$B$32*5*(Inputs!$B$25+ROUNDUP(Inputs!$B$22*$A10*7/Inputs!$B$32/Inputs!$B$24,0)*(Inputs!$B$26+Inputs!$B$27))/60)*Inputs!$B$30,0))*52</f>
        <v/>
      </c>
      <c r="F10" s="26">
        <f>(Inputs!$B$22*$A10*7*SUM(Items!$C$5:$C$9)*F$4-Inputs!$B$22*$A10*7*5*Inputs!$B$20-IF(Inputs!$B$21="Yes",IF(Inputs!$B$31="Shared",Inputs!$B$32*(Inputs!$B$25+5*ROUNDUP(Inputs!$B$22*$A10*7/Inputs!$B$32/Inputs!$B$24,0)*(Inputs!$B$26+Inputs!$B$27))/60,Inputs!$B$32*5*(Inputs!$B$25+ROUNDUP(Inputs!$B$22*$A10*7/Inputs!$B$32/Inputs!$B$24,0)*(Inputs!$B$26+Inputs!$B$27))/60)*Inputs!$B$30,0))*52</f>
        <v/>
      </c>
    </row>
    <row r="11">
      <c r="A11" s="4" t="n">
        <v>30</v>
      </c>
      <c r="B11" s="26">
        <f>(Inputs!$B$22*$A11*7*SUM(Items!$C$5:$C$9)*B$4-Inputs!$B$22*$A11*7*5*Inputs!$B$20-IF(Inputs!$B$21="Yes",IF(Inputs!$B$31="Shared",Inputs!$B$32*(Inputs!$B$25+5*ROUNDUP(Inputs!$B$22*$A11*7/Inputs!$B$32/Inputs!$B$24,0)*(Inputs!$B$26+Inputs!$B$27))/60,Inputs!$B$32*5*(Inputs!$B$25+ROUNDUP(Inputs!$B$22*$A11*7/Inputs!$B$32/Inputs!$B$24,0)*(Inputs!$B$26+Inputs!$B$27))/60)*Inputs!$B$30,0))*52</f>
        <v/>
      </c>
      <c r="C11" s="26">
        <f>(Inputs!$B$22*$A11*7*SUM(Items!$C$5:$C$9)*C$4-Inputs!$B$22*$A11*7*5*Inputs!$B$20-IF(Inputs!$B$21="Yes",IF(Inputs!$B$31="Shared",Inputs!$B$32*(Inputs!$B$25+5*ROUNDUP(Inputs!$B$22*$A11*7/Inputs!$B$32/Inputs!$B$24,0)*(Inputs!$B$26+Inputs!$B$27))/60,Inputs!$B$32*5*(Inputs!$B$25+ROUNDUP(Inputs!$B$22*$A11*7/Inputs!$B$32/Inputs!$B$24,0)*(Inputs!$B$26+Inputs!$B$27))/60)*Inputs!$B$30,0))*52</f>
        <v/>
      </c>
      <c r="D11" s="26">
        <f>(Inputs!$B$22*$A11*7*SUM(Items!$C$5:$C$9)*D$4-Inputs!$B$22*$A11*7*5*Inputs!$B$20-IF(Inputs!$B$21="Yes",IF(Inputs!$B$31="Shared",Inputs!$B$32*(Inputs!$B$25+5*ROUNDUP(Inputs!$B$22*$A11*7/Inputs!$B$32/Inputs!$B$24,0)*(Inputs!$B$26+Inputs!$B$27))/60,Inputs!$B$32*5*(Inputs!$B$25+ROUNDUP(Inputs!$B$22*$A11*7/Inputs!$B$32/Inputs!$B$24,0)*(Inputs!$B$26+Inputs!$B$27))/60)*Inputs!$B$30,0))*52</f>
        <v/>
      </c>
      <c r="E11" s="26">
        <f>(Inputs!$B$22*$A11*7*SUM(Items!$C$5:$C$9)*E$4-Inputs!$B$22*$A11*7*5*Inputs!$B$20-IF(Inputs!$B$21="Yes",IF(Inputs!$B$31="Shared",Inputs!$B$32*(Inputs!$B$25+5*ROUNDUP(Inputs!$B$22*$A11*7/Inputs!$B$32/Inputs!$B$24,0)*(Inputs!$B$26+Inputs!$B$27))/60,Inputs!$B$32*5*(Inputs!$B$25+ROUNDUP(Inputs!$B$22*$A11*7/Inputs!$B$32/Inputs!$B$24,0)*(Inputs!$B$26+Inputs!$B$27))/60)*Inputs!$B$30,0))*52</f>
        <v/>
      </c>
      <c r="F11" s="26">
        <f>(Inputs!$B$22*$A11*7*SUM(Items!$C$5:$C$9)*F$4-Inputs!$B$22*$A11*7*5*Inputs!$B$20-IF(Inputs!$B$21="Yes",IF(Inputs!$B$31="Shared",Inputs!$B$32*(Inputs!$B$25+5*ROUNDUP(Inputs!$B$22*$A11*7/Inputs!$B$32/Inputs!$B$24,0)*(Inputs!$B$26+Inputs!$B$27))/60,Inputs!$B$32*5*(Inputs!$B$25+ROUNDUP(Inputs!$B$22*$A11*7/Inputs!$B$32/Inputs!$B$24,0)*(Inputs!$B$26+Inputs!$B$27))/60)*Inputs!$B$30,0))*52</f>
        <v/>
      </c>
    </row>
    <row r="12">
      <c r="A12" s="4" t="n">
        <v>50</v>
      </c>
      <c r="B12" s="26">
        <f>(Inputs!$B$22*$A12*7*SUM(Items!$C$5:$C$9)*B$4-Inputs!$B$22*$A12*7*5*Inputs!$B$20-IF(Inputs!$B$21="Yes",IF(Inputs!$B$31="Shared",Inputs!$B$32*(Inputs!$B$25+5*ROUNDUP(Inputs!$B$22*$A12*7/Inputs!$B$32/Inputs!$B$24,0)*(Inputs!$B$26+Inputs!$B$27))/60,Inputs!$B$32*5*(Inputs!$B$25+ROUNDUP(Inputs!$B$22*$A12*7/Inputs!$B$32/Inputs!$B$24,0)*(Inputs!$B$26+Inputs!$B$27))/60)*Inputs!$B$30,0))*52</f>
        <v/>
      </c>
      <c r="C12" s="26">
        <f>(Inputs!$B$22*$A12*7*SUM(Items!$C$5:$C$9)*C$4-Inputs!$B$22*$A12*7*5*Inputs!$B$20-IF(Inputs!$B$21="Yes",IF(Inputs!$B$31="Shared",Inputs!$B$32*(Inputs!$B$25+5*ROUNDUP(Inputs!$B$22*$A12*7/Inputs!$B$32/Inputs!$B$24,0)*(Inputs!$B$26+Inputs!$B$27))/60,Inputs!$B$32*5*(Inputs!$B$25+ROUNDUP(Inputs!$B$22*$A12*7/Inputs!$B$32/Inputs!$B$24,0)*(Inputs!$B$26+Inputs!$B$27))/60)*Inputs!$B$30,0))*52</f>
        <v/>
      </c>
      <c r="D12" s="26">
        <f>(Inputs!$B$22*$A12*7*SUM(Items!$C$5:$C$9)*D$4-Inputs!$B$22*$A12*7*5*Inputs!$B$20-IF(Inputs!$B$21="Yes",IF(Inputs!$B$31="Shared",Inputs!$B$32*(Inputs!$B$25+5*ROUNDUP(Inputs!$B$22*$A12*7/Inputs!$B$32/Inputs!$B$24,0)*(Inputs!$B$26+Inputs!$B$27))/60,Inputs!$B$32*5*(Inputs!$B$25+ROUNDUP(Inputs!$B$22*$A12*7/Inputs!$B$32/Inputs!$B$24,0)*(Inputs!$B$26+Inputs!$B$27))/60)*Inputs!$B$30,0))*52</f>
        <v/>
      </c>
      <c r="E12" s="26">
        <f>(Inputs!$B$22*$A12*7*SUM(Items!$C$5:$C$9)*E$4-Inputs!$B$22*$A12*7*5*Inputs!$B$20-IF(Inputs!$B$21="Yes",IF(Inputs!$B$31="Shared",Inputs!$B$32*(Inputs!$B$25+5*ROUNDUP(Inputs!$B$22*$A12*7/Inputs!$B$32/Inputs!$B$24,0)*(Inputs!$B$26+Inputs!$B$27))/60,Inputs!$B$32*5*(Inputs!$B$25+ROUNDUP(Inputs!$B$22*$A12*7/Inputs!$B$32/Inputs!$B$24,0)*(Inputs!$B$26+Inputs!$B$27))/60)*Inputs!$B$30,0))*52</f>
        <v/>
      </c>
      <c r="F12" s="26">
        <f>(Inputs!$B$22*$A12*7*SUM(Items!$C$5:$C$9)*F$4-Inputs!$B$22*$A12*7*5*Inputs!$B$20-IF(Inputs!$B$21="Yes",IF(Inputs!$B$31="Shared",Inputs!$B$32*(Inputs!$B$25+5*ROUNDUP(Inputs!$B$22*$A12*7/Inputs!$B$32/Inputs!$B$24,0)*(Inputs!$B$26+Inputs!$B$27))/60,Inputs!$B$32*5*(Inputs!$B$25+ROUNDUP(Inputs!$B$22*$A12*7/Inputs!$B$32/Inputs!$B$24,0)*(Inputs!$B$26+Inputs!$B$27))/60)*Inputs!$B$30,0))*52</f>
        <v/>
      </c>
    </row>
    <row r="14">
      <c r="A14" s="2" t="inlineStr">
        <is>
          <t>Any cell at or below zero means five SKUs at that volume and that wholesale rate do not cover cost.</t>
        </is>
      </c>
    </row>
    <row r="15">
      <c r="A15" s="2" t="inlineStr">
        <is>
          <t>If the grid is all red, the fix is not price — it is Inputs!B32 (bake less often, bake bigger) or Inputs!B24 (bigger batches).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4" customWidth="1" min="7" max="7"/>
  </cols>
  <sheetData>
    <row r="1">
      <c r="A1" s="1" t="inlineStr">
        <is>
          <t>BREAK-EVEN — can wholesale work at all?</t>
        </is>
      </c>
    </row>
    <row r="2">
      <c r="A2" s="2" t="inlineStr">
        <is>
          <t>Time cost per unit has a floor: even with infinitely many units, you still pay prep+bake for every 20-unit batch. If that floor exceeds your margin, no volume rescues it.</t>
        </is>
      </c>
    </row>
    <row r="4">
      <c r="A4" s="5" t="inlineStr">
        <is>
          <t>A · THE FLOOR   (what a unit costs when volume is unlimited and setup rounds to nothing)</t>
        </is>
      </c>
      <c r="B4" s="6" t="n"/>
      <c r="C4" s="6" t="n"/>
      <c r="D4" s="6" t="n"/>
      <c r="E4" s="6" t="n"/>
      <c r="F4" s="6" t="n"/>
      <c r="G4" s="6" t="n"/>
    </row>
    <row r="5">
      <c r="A5" s="14" t="inlineStr">
        <is>
          <t>Blended MSRP across the 5 items</t>
        </is>
      </c>
      <c r="B5" s="12">
        <f>AVERAGE(Items!$C$5:$C$9)</f>
        <v/>
      </c>
      <c r="G5" s="2" t="inlineStr">
        <is>
          <t>Items tab</t>
        </is>
      </c>
    </row>
    <row r="6">
      <c r="A6" s="14" t="inlineStr">
        <is>
          <t>Blended wholesale price</t>
        </is>
      </c>
      <c r="B6" s="12">
        <f>$B$5*Inputs!$B$14</f>
        <v/>
      </c>
      <c r="G6" s="2" t="inlineStr">
        <is>
          <t>at Inputs!B14</t>
        </is>
      </c>
    </row>
    <row r="7">
      <c r="A7" s="14" t="inlineStr">
        <is>
          <t>Materials per unit (basis in use)</t>
        </is>
      </c>
      <c r="B7" s="12">
        <f>Inputs!$B$20</f>
        <v/>
      </c>
      <c r="G7" s="2" t="inlineStr">
        <is>
          <t>Flat or Computed, per Inputs!B18</t>
        </is>
      </c>
    </row>
    <row r="8">
      <c r="A8" s="3" t="inlineStr">
        <is>
          <t>Margin available for time, per unit</t>
        </is>
      </c>
      <c r="B8" s="22">
        <f>$B$6-$B$7</f>
        <v/>
      </c>
      <c r="G8" s="2" t="inlineStr">
        <is>
          <t>everything left to pay labor+kitchen</t>
        </is>
      </c>
    </row>
    <row r="9">
      <c r="A9" s="14" t="inlineStr">
        <is>
          <t>Minutes per unit at a FULL batch</t>
        </is>
      </c>
      <c r="B9" s="8">
        <f>(Inputs!$B$26+Inputs!$B$27)/Inputs!$B$24</f>
        <v/>
      </c>
      <c r="G9" s="2" t="inlineStr">
        <is>
          <t>(prep+bake)/yield — setup excluded, this is the floor</t>
        </is>
      </c>
    </row>
    <row r="10">
      <c r="A10" s="14" t="inlineStr">
        <is>
          <t>Floor time cost per unit</t>
        </is>
      </c>
      <c r="B10" s="12">
        <f>$B$9/60*Inputs!$B$30</f>
        <v/>
      </c>
      <c r="G10" s="2" t="inlineStr">
        <is>
          <t>at the combined hourly rate</t>
        </is>
      </c>
    </row>
    <row r="11">
      <c r="A11" s="3" t="inlineStr">
        <is>
          <t>Contribution per unit at the floor</t>
        </is>
      </c>
      <c r="B11" s="22">
        <f>$B$8-$B$10</f>
        <v/>
      </c>
      <c r="G11" s="2" t="inlineStr">
        <is>
          <t>POSITIVE = viable at high volume</t>
        </is>
      </c>
    </row>
    <row r="12">
      <c r="A12" s="3">
        <f>IF($B$11&gt;0,"VIABLE at high volume — the question is only how fast you get there.","NOT VIABLE AT ANY VOLUME with these settings. Fix one of: batch yield, hourly rate, materials cost, or wholesale %.")</f>
        <v/>
      </c>
    </row>
    <row r="14">
      <c r="A14" s="5" t="inlineStr">
        <is>
          <t>B · WHAT WOULD HAVE TO CHANGE</t>
        </is>
      </c>
      <c r="B14" s="6" t="n"/>
      <c r="C14" s="6" t="n"/>
      <c r="D14" s="6" t="n"/>
      <c r="E14" s="6" t="n"/>
      <c r="F14" s="6" t="n"/>
      <c r="G14" s="6" t="n"/>
    </row>
    <row r="15">
      <c r="A15" s="3" t="inlineStr">
        <is>
          <t>Batch yield needed to break even</t>
        </is>
      </c>
      <c r="B15" s="33">
        <f>IFERROR((Inputs!$B$26+Inputs!$B$27)/60*Inputs!$B$30/$B$8,0)</f>
        <v/>
      </c>
      <c r="G15" s="2" t="inlineStr">
        <is>
          <t>units per batch, at the current rate and margin</t>
        </is>
      </c>
    </row>
    <row r="16">
      <c r="A16" s="3" t="inlineStr">
        <is>
          <t>Combined $/hr the current yield can carry</t>
        </is>
      </c>
      <c r="B16" s="22">
        <f>IFERROR($B$8/($B$9/60),0)</f>
        <v/>
      </c>
      <c r="G16" s="2" t="inlineStr">
        <is>
          <t>vs your $80/hr — the gap is the problem</t>
        </is>
      </c>
    </row>
    <row r="17">
      <c r="A17" s="3" t="inlineStr">
        <is>
          <t>Wholesale % needed at the floor</t>
        </is>
      </c>
      <c r="B17" s="23">
        <f>IFERROR(($B$7+$B$10)/$B$5,0)</f>
        <v/>
      </c>
      <c r="G17" s="2" t="inlineStr">
        <is>
          <t>share of MSRP that just covers materials + floor time</t>
        </is>
      </c>
    </row>
    <row r="18">
      <c r="A18" s="3" t="inlineStr">
        <is>
          <t>Materials budget at 50% wholesale</t>
        </is>
      </c>
      <c r="B18" s="22">
        <f>$B$6-$B$10</f>
        <v/>
      </c>
      <c r="G18" s="2" t="inlineStr">
        <is>
          <t>what a unit's ingredients must cost to break even at the floor</t>
        </is>
      </c>
    </row>
    <row r="20">
      <c r="A20" s="5" t="inlineStr">
        <is>
          <t>C · COST PER UNIT BY SESSION SIZE   (one SKU, one bake session)</t>
        </is>
      </c>
      <c r="B20" s="6" t="n"/>
      <c r="C20" s="6" t="n"/>
      <c r="D20" s="6" t="n"/>
      <c r="E20" s="6" t="n"/>
      <c r="F20" s="6" t="n"/>
      <c r="G20" s="6" t="n"/>
    </row>
    <row r="21" ht="28" customHeight="1">
      <c r="A21" s="15" t="inlineStr">
        <is>
          <t>Units per session</t>
        </is>
      </c>
      <c r="B21" s="15" t="inlineStr">
        <is>
          <t>Batches</t>
        </is>
      </c>
      <c r="C21" s="15" t="inlineStr">
        <is>
          <t>Minutes</t>
        </is>
      </c>
      <c r="D21" s="15" t="inlineStr">
        <is>
          <t>Time $/unit</t>
        </is>
      </c>
      <c r="E21" s="15" t="inlineStr">
        <is>
          <t>All-in $/unit</t>
        </is>
      </c>
      <c r="F21" s="15" t="inlineStr">
        <is>
          <t>Contribution $/unit</t>
        </is>
      </c>
      <c r="G21" s="15" t="inlineStr">
        <is>
          <t>Profit per session</t>
        </is>
      </c>
    </row>
    <row r="22">
      <c r="A22" s="31" t="n">
        <v>10</v>
      </c>
      <c r="B22" s="8">
        <f>ROUNDUP($A22/Inputs!$B$24,0)</f>
        <v/>
      </c>
      <c r="C22" s="8">
        <f>Inputs!$B$25+$B22*(Inputs!$B$26+Inputs!$B$27)</f>
        <v/>
      </c>
      <c r="D22" s="12">
        <f>IFERROR($C22/60*Inputs!$B$30/$A22,0)</f>
        <v/>
      </c>
      <c r="E22" s="12">
        <f>$D22+Inputs!$B$20</f>
        <v/>
      </c>
      <c r="F22" s="12">
        <f>$B$6-$E22</f>
        <v/>
      </c>
      <c r="G22" s="27">
        <f>$F22*$A22</f>
        <v/>
      </c>
    </row>
    <row r="23">
      <c r="A23" s="31" t="n">
        <v>20</v>
      </c>
      <c r="B23" s="8">
        <f>ROUNDUP($A23/Inputs!$B$24,0)</f>
        <v/>
      </c>
      <c r="C23" s="8">
        <f>Inputs!$B$25+$B23*(Inputs!$B$26+Inputs!$B$27)</f>
        <v/>
      </c>
      <c r="D23" s="12">
        <f>IFERROR($C23/60*Inputs!$B$30/$A23,0)</f>
        <v/>
      </c>
      <c r="E23" s="12">
        <f>$D23+Inputs!$B$20</f>
        <v/>
      </c>
      <c r="F23" s="12">
        <f>$B$6-$E23</f>
        <v/>
      </c>
      <c r="G23" s="27">
        <f>$F23*$A23</f>
        <v/>
      </c>
    </row>
    <row r="24">
      <c r="A24" s="31" t="n">
        <v>40</v>
      </c>
      <c r="B24" s="8">
        <f>ROUNDUP($A24/Inputs!$B$24,0)</f>
        <v/>
      </c>
      <c r="C24" s="8">
        <f>Inputs!$B$25+$B24*(Inputs!$B$26+Inputs!$B$27)</f>
        <v/>
      </c>
      <c r="D24" s="12">
        <f>IFERROR($C24/60*Inputs!$B$30/$A24,0)</f>
        <v/>
      </c>
      <c r="E24" s="12">
        <f>$D24+Inputs!$B$20</f>
        <v/>
      </c>
      <c r="F24" s="12">
        <f>$B$6-$E24</f>
        <v/>
      </c>
      <c r="G24" s="27">
        <f>$F24*$A24</f>
        <v/>
      </c>
    </row>
    <row r="25">
      <c r="A25" s="31" t="n">
        <v>60</v>
      </c>
      <c r="B25" s="8">
        <f>ROUNDUP($A25/Inputs!$B$24,0)</f>
        <v/>
      </c>
      <c r="C25" s="8">
        <f>Inputs!$B$25+$B25*(Inputs!$B$26+Inputs!$B$27)</f>
        <v/>
      </c>
      <c r="D25" s="12">
        <f>IFERROR($C25/60*Inputs!$B$30/$A25,0)</f>
        <v/>
      </c>
      <c r="E25" s="12">
        <f>$D25+Inputs!$B$20</f>
        <v/>
      </c>
      <c r="F25" s="12">
        <f>$B$6-$E25</f>
        <v/>
      </c>
      <c r="G25" s="27">
        <f>$F25*$A25</f>
        <v/>
      </c>
    </row>
    <row r="26">
      <c r="A26" s="31" t="n">
        <v>100</v>
      </c>
      <c r="B26" s="8">
        <f>ROUNDUP($A26/Inputs!$B$24,0)</f>
        <v/>
      </c>
      <c r="C26" s="8">
        <f>Inputs!$B$25+$B26*(Inputs!$B$26+Inputs!$B$27)</f>
        <v/>
      </c>
      <c r="D26" s="12">
        <f>IFERROR($C26/60*Inputs!$B$30/$A26,0)</f>
        <v/>
      </c>
      <c r="E26" s="12">
        <f>$D26+Inputs!$B$20</f>
        <v/>
      </c>
      <c r="F26" s="12">
        <f>$B$6-$E26</f>
        <v/>
      </c>
      <c r="G26" s="27">
        <f>$F26*$A26</f>
        <v/>
      </c>
    </row>
    <row r="27">
      <c r="A27" s="31" t="n">
        <v>140</v>
      </c>
      <c r="B27" s="8">
        <f>ROUNDUP($A27/Inputs!$B$24,0)</f>
        <v/>
      </c>
      <c r="C27" s="8">
        <f>Inputs!$B$25+$B27*(Inputs!$B$26+Inputs!$B$27)</f>
        <v/>
      </c>
      <c r="D27" s="12">
        <f>IFERROR($C27/60*Inputs!$B$30/$A27,0)</f>
        <v/>
      </c>
      <c r="E27" s="12">
        <f>$D27+Inputs!$B$20</f>
        <v/>
      </c>
      <c r="F27" s="12">
        <f>$B$6-$E27</f>
        <v/>
      </c>
      <c r="G27" s="27">
        <f>$F27*$A27</f>
        <v/>
      </c>
    </row>
    <row r="28">
      <c r="A28" s="31" t="n">
        <v>200</v>
      </c>
      <c r="B28" s="8">
        <f>ROUNDUP($A28/Inputs!$B$24,0)</f>
        <v/>
      </c>
      <c r="C28" s="8">
        <f>Inputs!$B$25+$B28*(Inputs!$B$26+Inputs!$B$27)</f>
        <v/>
      </c>
      <c r="D28" s="12">
        <f>IFERROR($C28/60*Inputs!$B$30/$A28,0)</f>
        <v/>
      </c>
      <c r="E28" s="12">
        <f>$D28+Inputs!$B$20</f>
        <v/>
      </c>
      <c r="F28" s="12">
        <f>$B$6-$E28</f>
        <v/>
      </c>
      <c r="G28" s="27">
        <f>$F28*$A28</f>
        <v/>
      </c>
    </row>
    <row r="29">
      <c r="A29" s="31" t="n">
        <v>300</v>
      </c>
      <c r="B29" s="8">
        <f>ROUNDUP($A29/Inputs!$B$24,0)</f>
        <v/>
      </c>
      <c r="C29" s="8">
        <f>Inputs!$B$25+$B29*(Inputs!$B$26+Inputs!$B$27)</f>
        <v/>
      </c>
      <c r="D29" s="12">
        <f>IFERROR($C29/60*Inputs!$B$30/$A29,0)</f>
        <v/>
      </c>
      <c r="E29" s="12">
        <f>$D29+Inputs!$B$20</f>
        <v/>
      </c>
      <c r="F29" s="12">
        <f>$B$6-$E29</f>
        <v/>
      </c>
      <c r="G29" s="27">
        <f>$F29*$A29</f>
        <v/>
      </c>
    </row>
    <row r="30">
      <c r="A30" s="31" t="n">
        <v>400</v>
      </c>
      <c r="B30" s="8">
        <f>ROUNDUP($A30/Inputs!$B$24,0)</f>
        <v/>
      </c>
      <c r="C30" s="8">
        <f>Inputs!$B$25+$B30*(Inputs!$B$26+Inputs!$B$27)</f>
        <v/>
      </c>
      <c r="D30" s="12">
        <f>IFERROR($C30/60*Inputs!$B$30/$A30,0)</f>
        <v/>
      </c>
      <c r="E30" s="12">
        <f>$D30+Inputs!$B$20</f>
        <v/>
      </c>
      <c r="F30" s="12">
        <f>$B$6-$E30</f>
        <v/>
      </c>
      <c r="G30" s="27">
        <f>$F30*$A30</f>
        <v/>
      </c>
    </row>
    <row r="32">
      <c r="A32" s="2" t="inlineStr">
        <is>
          <t>Column F turns positive at the volume where wholesale finally covers cost. If it never does, section A already told you why.</t>
        </is>
      </c>
    </row>
    <row r="34">
      <c r="A34" s="5" t="inlineStr">
        <is>
          <t>D · THE SAME TABLE IF YOU RAISE BATCH YIELD</t>
        </is>
      </c>
      <c r="B34" s="6" t="n"/>
      <c r="C34" s="6" t="n"/>
      <c r="D34" s="6" t="n"/>
      <c r="E34" s="6" t="n"/>
      <c r="F34" s="6" t="n"/>
      <c r="G34" s="6" t="n"/>
    </row>
    <row r="35">
      <c r="A35" s="2" t="inlineStr">
        <is>
          <t>Bigger trays or a bigger oven is the single highest-leverage change: it divides the 29 min of prep+bake across more units.</t>
        </is>
      </c>
    </row>
    <row r="36" ht="28" customHeight="1">
      <c r="A36" s="15" t="inlineStr">
        <is>
          <t>Batch yield</t>
        </is>
      </c>
      <c r="B36" s="15" t="inlineStr">
        <is>
          <t>Min/unit at floor</t>
        </is>
      </c>
      <c r="C36" s="15" t="inlineStr">
        <is>
          <t>Floor time $/unit</t>
        </is>
      </c>
      <c r="D36" s="15" t="inlineStr">
        <is>
          <t>Contribution at floor</t>
        </is>
      </c>
      <c r="E36" s="15" t="inlineStr"/>
      <c r="F36" s="15" t="inlineStr"/>
      <c r="G36" s="15" t="inlineStr"/>
    </row>
    <row r="37">
      <c r="A37" s="31" t="n">
        <v>20</v>
      </c>
      <c r="B37" s="8">
        <f>(Inputs!$B$26+Inputs!$B$27)/$A37</f>
        <v/>
      </c>
      <c r="C37" s="12">
        <f>$B37/60*Inputs!$B$30</f>
        <v/>
      </c>
      <c r="D37" s="12">
        <f>$B$8-$C37</f>
        <v/>
      </c>
    </row>
    <row r="38">
      <c r="A38" s="31" t="n">
        <v>30</v>
      </c>
      <c r="B38" s="8">
        <f>(Inputs!$B$26+Inputs!$B$27)/$A38</f>
        <v/>
      </c>
      <c r="C38" s="12">
        <f>$B38/60*Inputs!$B$30</f>
        <v/>
      </c>
      <c r="D38" s="12">
        <f>$B$8-$C38</f>
        <v/>
      </c>
    </row>
    <row r="39">
      <c r="A39" s="31" t="n">
        <v>40</v>
      </c>
      <c r="B39" s="8">
        <f>(Inputs!$B$26+Inputs!$B$27)/$A39</f>
        <v/>
      </c>
      <c r="C39" s="12">
        <f>$B39/60*Inputs!$B$30</f>
        <v/>
      </c>
      <c r="D39" s="12">
        <f>$B$8-$C39</f>
        <v/>
      </c>
    </row>
    <row r="40">
      <c r="A40" s="31" t="n">
        <v>60</v>
      </c>
      <c r="B40" s="8">
        <f>(Inputs!$B$26+Inputs!$B$27)/$A40</f>
        <v/>
      </c>
      <c r="C40" s="12">
        <f>$B40/60*Inputs!$B$30</f>
        <v/>
      </c>
      <c r="D40" s="12">
        <f>$B$8-$C40</f>
        <v/>
      </c>
    </row>
    <row r="41">
      <c r="A41" s="31" t="n">
        <v>80</v>
      </c>
      <c r="B41" s="8">
        <f>(Inputs!$B$26+Inputs!$B$27)/$A41</f>
        <v/>
      </c>
      <c r="C41" s="12">
        <f>$B41/60*Inputs!$B$30</f>
        <v/>
      </c>
      <c r="D41" s="12">
        <f>$B$8-$C41</f>
        <v/>
      </c>
    </row>
    <row r="42">
      <c r="A42" s="31" t="n">
        <v>100</v>
      </c>
      <c r="B42" s="8">
        <f>(Inputs!$B$26+Inputs!$B$27)/$A42</f>
        <v/>
      </c>
      <c r="C42" s="12">
        <f>$B42/60*Inputs!$B$30</f>
        <v/>
      </c>
      <c r="D42" s="12">
        <f>$B$8-$C42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0" customWidth="1" min="8" max="8"/>
  </cols>
  <sheetData>
    <row r="1">
      <c r="A1" s="1" t="inlineStr">
        <is>
          <t>THE PATH FROM 1 SKU TO 5</t>
        </is>
      </c>
    </row>
    <row r="2">
      <c r="A2" s="2" t="inlineStr">
        <is>
          <t>You have one product in one account today. This grid separates the two ways to grow: more SKUs on one shelf (down) versus the same SKUs in more accounts (across).</t>
        </is>
      </c>
    </row>
    <row r="3">
      <c r="A3" s="3">
        <f>" Annual profit · "&amp;TEXT(Inputs!$B$12,"0")&amp;" units/day per item per account · "&amp;TEXT(Inputs!$B$32,"0")&amp;" bakes/week · setup "&amp;Inputs!$B$31&amp;" · batch yield "&amp;TEXT(Inputs!$B$24,"0")&amp;" · materials $"&amp;TEXT(Inputs!$B$20,"0.00")&amp;" · time $"&amp;TEXT(Inputs!$B$30,"0")&amp;"/hr"</f>
        <v/>
      </c>
    </row>
    <row r="5">
      <c r="A5" s="5" t="inlineStr">
        <is>
          <t>ANNUAL PROFIT   rows = SKUs carried · columns = wholesale accounts</t>
        </is>
      </c>
      <c r="B5" s="34" t="n">
        <v>1</v>
      </c>
      <c r="C5" s="34" t="n">
        <v>2</v>
      </c>
      <c r="D5" s="34" t="n">
        <v>3</v>
      </c>
      <c r="E5" s="34" t="n">
        <v>5</v>
      </c>
      <c r="F5" s="34" t="n">
        <v>8</v>
      </c>
      <c r="G5" s="34" t="n">
        <v>12</v>
      </c>
      <c r="H5" s="6" t="n"/>
    </row>
    <row r="6" ht="28" customHeight="1">
      <c r="A6" s="15" t="inlineStr">
        <is>
          <t>SKUs</t>
        </is>
      </c>
      <c r="B6" s="15" t="inlineStr">
        <is>
          <t>1 account</t>
        </is>
      </c>
      <c r="C6" s="15" t="inlineStr">
        <is>
          <t>2 accounts</t>
        </is>
      </c>
      <c r="D6" s="15" t="inlineStr">
        <is>
          <t>3 accounts</t>
        </is>
      </c>
      <c r="E6" s="15" t="inlineStr">
        <is>
          <t>5 accounts</t>
        </is>
      </c>
      <c r="F6" s="15" t="inlineStr">
        <is>
          <t>8 accounts</t>
        </is>
      </c>
      <c r="G6" s="15" t="inlineStr">
        <is>
          <t>12 accounts</t>
        </is>
      </c>
      <c r="H6" s="15" t="inlineStr"/>
    </row>
    <row r="7">
      <c r="A7" s="3" t="inlineStr">
        <is>
          <t>1 SKU</t>
        </is>
      </c>
      <c r="B7" s="26">
        <f>(B$5*Inputs!$B$12*7*INDEX(Items!$I$5:$I$9,1)-B$5*Inputs!$B$12*7*INDEX(Items!$J$5:$J$9,1)-IF(Inputs!$B$21="Yes",IF(Inputs!$B$31="Shared",Inputs!$B$32*(Inputs!$B$25+1*ROUNDUP(B$5*Inputs!$B$12*7/Inputs!$B$32/Inputs!$B$24,0)*(Inputs!$B$26+Inputs!$B$27))/60,Inputs!$B$32*1*(Inputs!$B$25+ROUNDUP(B$5*Inputs!$B$12*7/Inputs!$B$32/Inputs!$B$24,0)*(Inputs!$B$26+Inputs!$B$27))/60)*Inputs!$B$30,0))*52</f>
        <v/>
      </c>
      <c r="C7" s="26">
        <f>(C$5*Inputs!$B$12*7*INDEX(Items!$I$5:$I$9,1)-C$5*Inputs!$B$12*7*INDEX(Items!$J$5:$J$9,1)-IF(Inputs!$B$21="Yes",IF(Inputs!$B$31="Shared",Inputs!$B$32*(Inputs!$B$25+1*ROUNDUP(C$5*Inputs!$B$12*7/Inputs!$B$32/Inputs!$B$24,0)*(Inputs!$B$26+Inputs!$B$27))/60,Inputs!$B$32*1*(Inputs!$B$25+ROUNDUP(C$5*Inputs!$B$12*7/Inputs!$B$32/Inputs!$B$24,0)*(Inputs!$B$26+Inputs!$B$27))/60)*Inputs!$B$30,0))*52</f>
        <v/>
      </c>
      <c r="D7" s="26">
        <f>(D$5*Inputs!$B$12*7*INDEX(Items!$I$5:$I$9,1)-D$5*Inputs!$B$12*7*INDEX(Items!$J$5:$J$9,1)-IF(Inputs!$B$21="Yes",IF(Inputs!$B$31="Shared",Inputs!$B$32*(Inputs!$B$25+1*ROUNDUP(D$5*Inputs!$B$12*7/Inputs!$B$32/Inputs!$B$24,0)*(Inputs!$B$26+Inputs!$B$27))/60,Inputs!$B$32*1*(Inputs!$B$25+ROUNDUP(D$5*Inputs!$B$12*7/Inputs!$B$32/Inputs!$B$24,0)*(Inputs!$B$26+Inputs!$B$27))/60)*Inputs!$B$30,0))*52</f>
        <v/>
      </c>
      <c r="E7" s="26">
        <f>(E$5*Inputs!$B$12*7*INDEX(Items!$I$5:$I$9,1)-E$5*Inputs!$B$12*7*INDEX(Items!$J$5:$J$9,1)-IF(Inputs!$B$21="Yes",IF(Inputs!$B$31="Shared",Inputs!$B$32*(Inputs!$B$25+1*ROUNDUP(E$5*Inputs!$B$12*7/Inputs!$B$32/Inputs!$B$24,0)*(Inputs!$B$26+Inputs!$B$27))/60,Inputs!$B$32*1*(Inputs!$B$25+ROUNDUP(E$5*Inputs!$B$12*7/Inputs!$B$32/Inputs!$B$24,0)*(Inputs!$B$26+Inputs!$B$27))/60)*Inputs!$B$30,0))*52</f>
        <v/>
      </c>
      <c r="F7" s="26">
        <f>(F$5*Inputs!$B$12*7*INDEX(Items!$I$5:$I$9,1)-F$5*Inputs!$B$12*7*INDEX(Items!$J$5:$J$9,1)-IF(Inputs!$B$21="Yes",IF(Inputs!$B$31="Shared",Inputs!$B$32*(Inputs!$B$25+1*ROUNDUP(F$5*Inputs!$B$12*7/Inputs!$B$32/Inputs!$B$24,0)*(Inputs!$B$26+Inputs!$B$27))/60,Inputs!$B$32*1*(Inputs!$B$25+ROUNDUP(F$5*Inputs!$B$12*7/Inputs!$B$32/Inputs!$B$24,0)*(Inputs!$B$26+Inputs!$B$27))/60)*Inputs!$B$30,0))*52</f>
        <v/>
      </c>
      <c r="G7" s="26">
        <f>(G$5*Inputs!$B$12*7*INDEX(Items!$I$5:$I$9,1)-G$5*Inputs!$B$12*7*INDEX(Items!$J$5:$J$9,1)-IF(Inputs!$B$21="Yes",IF(Inputs!$B$31="Shared",Inputs!$B$32*(Inputs!$B$25+1*ROUNDUP(G$5*Inputs!$B$12*7/Inputs!$B$32/Inputs!$B$24,0)*(Inputs!$B$26+Inputs!$B$27))/60,Inputs!$B$32*1*(Inputs!$B$25+ROUNDUP(G$5*Inputs!$B$12*7/Inputs!$B$32/Inputs!$B$24,0)*(Inputs!$B$26+Inputs!$B$27))/60)*Inputs!$B$30,0))*52</f>
        <v/>
      </c>
      <c r="H7" s="2" t="inlineStr">
        <is>
          <t>Read across, not down: accounts fill batches, SKUs fill sessions.</t>
        </is>
      </c>
    </row>
    <row r="8">
      <c r="A8" s="3" t="inlineStr">
        <is>
          <t>2 SKUs</t>
        </is>
      </c>
      <c r="B8" s="26">
        <f>(B$5*Inputs!$B$12*7*INDEX(Items!$I$5:$I$9,2)-B$5*Inputs!$B$12*7*INDEX(Items!$J$5:$J$9,2)-IF(Inputs!$B$21="Yes",IF(Inputs!$B$31="Shared",Inputs!$B$32*(Inputs!$B$25+2*ROUNDUP(B$5*Inputs!$B$12*7/Inputs!$B$32/Inputs!$B$24,0)*(Inputs!$B$26+Inputs!$B$27))/60,Inputs!$B$32*2*(Inputs!$B$25+ROUNDUP(B$5*Inputs!$B$12*7/Inputs!$B$32/Inputs!$B$24,0)*(Inputs!$B$26+Inputs!$B$27))/60)*Inputs!$B$30,0))*52</f>
        <v/>
      </c>
      <c r="C8" s="26">
        <f>(C$5*Inputs!$B$12*7*INDEX(Items!$I$5:$I$9,2)-C$5*Inputs!$B$12*7*INDEX(Items!$J$5:$J$9,2)-IF(Inputs!$B$21="Yes",IF(Inputs!$B$31="Shared",Inputs!$B$32*(Inputs!$B$25+2*ROUNDUP(C$5*Inputs!$B$12*7/Inputs!$B$32/Inputs!$B$24,0)*(Inputs!$B$26+Inputs!$B$27))/60,Inputs!$B$32*2*(Inputs!$B$25+ROUNDUP(C$5*Inputs!$B$12*7/Inputs!$B$32/Inputs!$B$24,0)*(Inputs!$B$26+Inputs!$B$27))/60)*Inputs!$B$30,0))*52</f>
        <v/>
      </c>
      <c r="D8" s="26">
        <f>(D$5*Inputs!$B$12*7*INDEX(Items!$I$5:$I$9,2)-D$5*Inputs!$B$12*7*INDEX(Items!$J$5:$J$9,2)-IF(Inputs!$B$21="Yes",IF(Inputs!$B$31="Shared",Inputs!$B$32*(Inputs!$B$25+2*ROUNDUP(D$5*Inputs!$B$12*7/Inputs!$B$32/Inputs!$B$24,0)*(Inputs!$B$26+Inputs!$B$27))/60,Inputs!$B$32*2*(Inputs!$B$25+ROUNDUP(D$5*Inputs!$B$12*7/Inputs!$B$32/Inputs!$B$24,0)*(Inputs!$B$26+Inputs!$B$27))/60)*Inputs!$B$30,0))*52</f>
        <v/>
      </c>
      <c r="E8" s="26">
        <f>(E$5*Inputs!$B$12*7*INDEX(Items!$I$5:$I$9,2)-E$5*Inputs!$B$12*7*INDEX(Items!$J$5:$J$9,2)-IF(Inputs!$B$21="Yes",IF(Inputs!$B$31="Shared",Inputs!$B$32*(Inputs!$B$25+2*ROUNDUP(E$5*Inputs!$B$12*7/Inputs!$B$32/Inputs!$B$24,0)*(Inputs!$B$26+Inputs!$B$27))/60,Inputs!$B$32*2*(Inputs!$B$25+ROUNDUP(E$5*Inputs!$B$12*7/Inputs!$B$32/Inputs!$B$24,0)*(Inputs!$B$26+Inputs!$B$27))/60)*Inputs!$B$30,0))*52</f>
        <v/>
      </c>
      <c r="F8" s="26">
        <f>(F$5*Inputs!$B$12*7*INDEX(Items!$I$5:$I$9,2)-F$5*Inputs!$B$12*7*INDEX(Items!$J$5:$J$9,2)-IF(Inputs!$B$21="Yes",IF(Inputs!$B$31="Shared",Inputs!$B$32*(Inputs!$B$25+2*ROUNDUP(F$5*Inputs!$B$12*7/Inputs!$B$32/Inputs!$B$24,0)*(Inputs!$B$26+Inputs!$B$27))/60,Inputs!$B$32*2*(Inputs!$B$25+ROUNDUP(F$5*Inputs!$B$12*7/Inputs!$B$32/Inputs!$B$24,0)*(Inputs!$B$26+Inputs!$B$27))/60)*Inputs!$B$30,0))*52</f>
        <v/>
      </c>
      <c r="G8" s="26">
        <f>(G$5*Inputs!$B$12*7*INDEX(Items!$I$5:$I$9,2)-G$5*Inputs!$B$12*7*INDEX(Items!$J$5:$J$9,2)-IF(Inputs!$B$21="Yes",IF(Inputs!$B$31="Shared",Inputs!$B$32*(Inputs!$B$25+2*ROUNDUP(G$5*Inputs!$B$12*7/Inputs!$B$32/Inputs!$B$24,0)*(Inputs!$B$26+Inputs!$B$27))/60,Inputs!$B$32*2*(Inputs!$B$25+ROUNDUP(G$5*Inputs!$B$12*7/Inputs!$B$32/Inputs!$B$24,0)*(Inputs!$B$26+Inputs!$B$27))/60)*Inputs!$B$30,0))*52</f>
        <v/>
      </c>
    </row>
    <row r="9">
      <c r="A9" s="3" t="inlineStr">
        <is>
          <t>3 SKUs</t>
        </is>
      </c>
      <c r="B9" s="26">
        <f>(B$5*Inputs!$B$12*7*INDEX(Items!$I$5:$I$9,3)-B$5*Inputs!$B$12*7*INDEX(Items!$J$5:$J$9,3)-IF(Inputs!$B$21="Yes",IF(Inputs!$B$31="Shared",Inputs!$B$32*(Inputs!$B$25+3*ROUNDUP(B$5*Inputs!$B$12*7/Inputs!$B$32/Inputs!$B$24,0)*(Inputs!$B$26+Inputs!$B$27))/60,Inputs!$B$32*3*(Inputs!$B$25+ROUNDUP(B$5*Inputs!$B$12*7/Inputs!$B$32/Inputs!$B$24,0)*(Inputs!$B$26+Inputs!$B$27))/60)*Inputs!$B$30,0))*52</f>
        <v/>
      </c>
      <c r="C9" s="26">
        <f>(C$5*Inputs!$B$12*7*INDEX(Items!$I$5:$I$9,3)-C$5*Inputs!$B$12*7*INDEX(Items!$J$5:$J$9,3)-IF(Inputs!$B$21="Yes",IF(Inputs!$B$31="Shared",Inputs!$B$32*(Inputs!$B$25+3*ROUNDUP(C$5*Inputs!$B$12*7/Inputs!$B$32/Inputs!$B$24,0)*(Inputs!$B$26+Inputs!$B$27))/60,Inputs!$B$32*3*(Inputs!$B$25+ROUNDUP(C$5*Inputs!$B$12*7/Inputs!$B$32/Inputs!$B$24,0)*(Inputs!$B$26+Inputs!$B$27))/60)*Inputs!$B$30,0))*52</f>
        <v/>
      </c>
      <c r="D9" s="26">
        <f>(D$5*Inputs!$B$12*7*INDEX(Items!$I$5:$I$9,3)-D$5*Inputs!$B$12*7*INDEX(Items!$J$5:$J$9,3)-IF(Inputs!$B$21="Yes",IF(Inputs!$B$31="Shared",Inputs!$B$32*(Inputs!$B$25+3*ROUNDUP(D$5*Inputs!$B$12*7/Inputs!$B$32/Inputs!$B$24,0)*(Inputs!$B$26+Inputs!$B$27))/60,Inputs!$B$32*3*(Inputs!$B$25+ROUNDUP(D$5*Inputs!$B$12*7/Inputs!$B$32/Inputs!$B$24,0)*(Inputs!$B$26+Inputs!$B$27))/60)*Inputs!$B$30,0))*52</f>
        <v/>
      </c>
      <c r="E9" s="26">
        <f>(E$5*Inputs!$B$12*7*INDEX(Items!$I$5:$I$9,3)-E$5*Inputs!$B$12*7*INDEX(Items!$J$5:$J$9,3)-IF(Inputs!$B$21="Yes",IF(Inputs!$B$31="Shared",Inputs!$B$32*(Inputs!$B$25+3*ROUNDUP(E$5*Inputs!$B$12*7/Inputs!$B$32/Inputs!$B$24,0)*(Inputs!$B$26+Inputs!$B$27))/60,Inputs!$B$32*3*(Inputs!$B$25+ROUNDUP(E$5*Inputs!$B$12*7/Inputs!$B$32/Inputs!$B$24,0)*(Inputs!$B$26+Inputs!$B$27))/60)*Inputs!$B$30,0))*52</f>
        <v/>
      </c>
      <c r="F9" s="26">
        <f>(F$5*Inputs!$B$12*7*INDEX(Items!$I$5:$I$9,3)-F$5*Inputs!$B$12*7*INDEX(Items!$J$5:$J$9,3)-IF(Inputs!$B$21="Yes",IF(Inputs!$B$31="Shared",Inputs!$B$32*(Inputs!$B$25+3*ROUNDUP(F$5*Inputs!$B$12*7/Inputs!$B$32/Inputs!$B$24,0)*(Inputs!$B$26+Inputs!$B$27))/60,Inputs!$B$32*3*(Inputs!$B$25+ROUNDUP(F$5*Inputs!$B$12*7/Inputs!$B$32/Inputs!$B$24,0)*(Inputs!$B$26+Inputs!$B$27))/60)*Inputs!$B$30,0))*52</f>
        <v/>
      </c>
      <c r="G9" s="26">
        <f>(G$5*Inputs!$B$12*7*INDEX(Items!$I$5:$I$9,3)-G$5*Inputs!$B$12*7*INDEX(Items!$J$5:$J$9,3)-IF(Inputs!$B$21="Yes",IF(Inputs!$B$31="Shared",Inputs!$B$32*(Inputs!$B$25+3*ROUNDUP(G$5*Inputs!$B$12*7/Inputs!$B$32/Inputs!$B$24,0)*(Inputs!$B$26+Inputs!$B$27))/60,Inputs!$B$32*3*(Inputs!$B$25+ROUNDUP(G$5*Inputs!$B$12*7/Inputs!$B$32/Inputs!$B$24,0)*(Inputs!$B$26+Inputs!$B$27))/60)*Inputs!$B$30,0))*52</f>
        <v/>
      </c>
    </row>
    <row r="10">
      <c r="A10" s="3" t="inlineStr">
        <is>
          <t>4 SKUs</t>
        </is>
      </c>
      <c r="B10" s="26">
        <f>(B$5*Inputs!$B$12*7*INDEX(Items!$I$5:$I$9,4)-B$5*Inputs!$B$12*7*INDEX(Items!$J$5:$J$9,4)-IF(Inputs!$B$21="Yes",IF(Inputs!$B$31="Shared",Inputs!$B$32*(Inputs!$B$25+4*ROUNDUP(B$5*Inputs!$B$12*7/Inputs!$B$32/Inputs!$B$24,0)*(Inputs!$B$26+Inputs!$B$27))/60,Inputs!$B$32*4*(Inputs!$B$25+ROUNDUP(B$5*Inputs!$B$12*7/Inputs!$B$32/Inputs!$B$24,0)*(Inputs!$B$26+Inputs!$B$27))/60)*Inputs!$B$30,0))*52</f>
        <v/>
      </c>
      <c r="C10" s="26">
        <f>(C$5*Inputs!$B$12*7*INDEX(Items!$I$5:$I$9,4)-C$5*Inputs!$B$12*7*INDEX(Items!$J$5:$J$9,4)-IF(Inputs!$B$21="Yes",IF(Inputs!$B$31="Shared",Inputs!$B$32*(Inputs!$B$25+4*ROUNDUP(C$5*Inputs!$B$12*7/Inputs!$B$32/Inputs!$B$24,0)*(Inputs!$B$26+Inputs!$B$27))/60,Inputs!$B$32*4*(Inputs!$B$25+ROUNDUP(C$5*Inputs!$B$12*7/Inputs!$B$32/Inputs!$B$24,0)*(Inputs!$B$26+Inputs!$B$27))/60)*Inputs!$B$30,0))*52</f>
        <v/>
      </c>
      <c r="D10" s="26">
        <f>(D$5*Inputs!$B$12*7*INDEX(Items!$I$5:$I$9,4)-D$5*Inputs!$B$12*7*INDEX(Items!$J$5:$J$9,4)-IF(Inputs!$B$21="Yes",IF(Inputs!$B$31="Shared",Inputs!$B$32*(Inputs!$B$25+4*ROUNDUP(D$5*Inputs!$B$12*7/Inputs!$B$32/Inputs!$B$24,0)*(Inputs!$B$26+Inputs!$B$27))/60,Inputs!$B$32*4*(Inputs!$B$25+ROUNDUP(D$5*Inputs!$B$12*7/Inputs!$B$32/Inputs!$B$24,0)*(Inputs!$B$26+Inputs!$B$27))/60)*Inputs!$B$30,0))*52</f>
        <v/>
      </c>
      <c r="E10" s="26">
        <f>(E$5*Inputs!$B$12*7*INDEX(Items!$I$5:$I$9,4)-E$5*Inputs!$B$12*7*INDEX(Items!$J$5:$J$9,4)-IF(Inputs!$B$21="Yes",IF(Inputs!$B$31="Shared",Inputs!$B$32*(Inputs!$B$25+4*ROUNDUP(E$5*Inputs!$B$12*7/Inputs!$B$32/Inputs!$B$24,0)*(Inputs!$B$26+Inputs!$B$27))/60,Inputs!$B$32*4*(Inputs!$B$25+ROUNDUP(E$5*Inputs!$B$12*7/Inputs!$B$32/Inputs!$B$24,0)*(Inputs!$B$26+Inputs!$B$27))/60)*Inputs!$B$30,0))*52</f>
        <v/>
      </c>
      <c r="F10" s="26">
        <f>(F$5*Inputs!$B$12*7*INDEX(Items!$I$5:$I$9,4)-F$5*Inputs!$B$12*7*INDEX(Items!$J$5:$J$9,4)-IF(Inputs!$B$21="Yes",IF(Inputs!$B$31="Shared",Inputs!$B$32*(Inputs!$B$25+4*ROUNDUP(F$5*Inputs!$B$12*7/Inputs!$B$32/Inputs!$B$24,0)*(Inputs!$B$26+Inputs!$B$27))/60,Inputs!$B$32*4*(Inputs!$B$25+ROUNDUP(F$5*Inputs!$B$12*7/Inputs!$B$32/Inputs!$B$24,0)*(Inputs!$B$26+Inputs!$B$27))/60)*Inputs!$B$30,0))*52</f>
        <v/>
      </c>
      <c r="G10" s="26">
        <f>(G$5*Inputs!$B$12*7*INDEX(Items!$I$5:$I$9,4)-G$5*Inputs!$B$12*7*INDEX(Items!$J$5:$J$9,4)-IF(Inputs!$B$21="Yes",IF(Inputs!$B$31="Shared",Inputs!$B$32*(Inputs!$B$25+4*ROUNDUP(G$5*Inputs!$B$12*7/Inputs!$B$32/Inputs!$B$24,0)*(Inputs!$B$26+Inputs!$B$27))/60,Inputs!$B$32*4*(Inputs!$B$25+ROUNDUP(G$5*Inputs!$B$12*7/Inputs!$B$32/Inputs!$B$24,0)*(Inputs!$B$26+Inputs!$B$27))/60)*Inputs!$B$30,0))*52</f>
        <v/>
      </c>
    </row>
    <row r="11">
      <c r="A11" s="3" t="inlineStr">
        <is>
          <t>5 SKUs</t>
        </is>
      </c>
      <c r="B11" s="26">
        <f>(B$5*Inputs!$B$12*7*INDEX(Items!$I$5:$I$9,5)-B$5*Inputs!$B$12*7*INDEX(Items!$J$5:$J$9,5)-IF(Inputs!$B$21="Yes",IF(Inputs!$B$31="Shared",Inputs!$B$32*(Inputs!$B$25+5*ROUNDUP(B$5*Inputs!$B$12*7/Inputs!$B$32/Inputs!$B$24,0)*(Inputs!$B$26+Inputs!$B$27))/60,Inputs!$B$32*5*(Inputs!$B$25+ROUNDUP(B$5*Inputs!$B$12*7/Inputs!$B$32/Inputs!$B$24,0)*(Inputs!$B$26+Inputs!$B$27))/60)*Inputs!$B$30,0))*52</f>
        <v/>
      </c>
      <c r="C11" s="26">
        <f>(C$5*Inputs!$B$12*7*INDEX(Items!$I$5:$I$9,5)-C$5*Inputs!$B$12*7*INDEX(Items!$J$5:$J$9,5)-IF(Inputs!$B$21="Yes",IF(Inputs!$B$31="Shared",Inputs!$B$32*(Inputs!$B$25+5*ROUNDUP(C$5*Inputs!$B$12*7/Inputs!$B$32/Inputs!$B$24,0)*(Inputs!$B$26+Inputs!$B$27))/60,Inputs!$B$32*5*(Inputs!$B$25+ROUNDUP(C$5*Inputs!$B$12*7/Inputs!$B$32/Inputs!$B$24,0)*(Inputs!$B$26+Inputs!$B$27))/60)*Inputs!$B$30,0))*52</f>
        <v/>
      </c>
      <c r="D11" s="26">
        <f>(D$5*Inputs!$B$12*7*INDEX(Items!$I$5:$I$9,5)-D$5*Inputs!$B$12*7*INDEX(Items!$J$5:$J$9,5)-IF(Inputs!$B$21="Yes",IF(Inputs!$B$31="Shared",Inputs!$B$32*(Inputs!$B$25+5*ROUNDUP(D$5*Inputs!$B$12*7/Inputs!$B$32/Inputs!$B$24,0)*(Inputs!$B$26+Inputs!$B$27))/60,Inputs!$B$32*5*(Inputs!$B$25+ROUNDUP(D$5*Inputs!$B$12*7/Inputs!$B$32/Inputs!$B$24,0)*(Inputs!$B$26+Inputs!$B$27))/60)*Inputs!$B$30,0))*52</f>
        <v/>
      </c>
      <c r="E11" s="26">
        <f>(E$5*Inputs!$B$12*7*INDEX(Items!$I$5:$I$9,5)-E$5*Inputs!$B$12*7*INDEX(Items!$J$5:$J$9,5)-IF(Inputs!$B$21="Yes",IF(Inputs!$B$31="Shared",Inputs!$B$32*(Inputs!$B$25+5*ROUNDUP(E$5*Inputs!$B$12*7/Inputs!$B$32/Inputs!$B$24,0)*(Inputs!$B$26+Inputs!$B$27))/60,Inputs!$B$32*5*(Inputs!$B$25+ROUNDUP(E$5*Inputs!$B$12*7/Inputs!$B$32/Inputs!$B$24,0)*(Inputs!$B$26+Inputs!$B$27))/60)*Inputs!$B$30,0))*52</f>
        <v/>
      </c>
      <c r="F11" s="26">
        <f>(F$5*Inputs!$B$12*7*INDEX(Items!$I$5:$I$9,5)-F$5*Inputs!$B$12*7*INDEX(Items!$J$5:$J$9,5)-IF(Inputs!$B$21="Yes",IF(Inputs!$B$31="Shared",Inputs!$B$32*(Inputs!$B$25+5*ROUNDUP(F$5*Inputs!$B$12*7/Inputs!$B$32/Inputs!$B$24,0)*(Inputs!$B$26+Inputs!$B$27))/60,Inputs!$B$32*5*(Inputs!$B$25+ROUNDUP(F$5*Inputs!$B$12*7/Inputs!$B$32/Inputs!$B$24,0)*(Inputs!$B$26+Inputs!$B$27))/60)*Inputs!$B$30,0))*52</f>
        <v/>
      </c>
      <c r="G11" s="26">
        <f>(G$5*Inputs!$B$12*7*INDEX(Items!$I$5:$I$9,5)-G$5*Inputs!$B$12*7*INDEX(Items!$J$5:$J$9,5)-IF(Inputs!$B$21="Yes",IF(Inputs!$B$31="Shared",Inputs!$B$32*(Inputs!$B$25+5*ROUNDUP(G$5*Inputs!$B$12*7/Inputs!$B$32/Inputs!$B$24,0)*(Inputs!$B$26+Inputs!$B$27))/60,Inputs!$B$32*5*(Inputs!$B$25+ROUNDUP(G$5*Inputs!$B$12*7/Inputs!$B$32/Inputs!$B$24,0)*(Inputs!$B$26+Inputs!$B$27))/60)*Inputs!$B$30,0))*52</f>
        <v/>
      </c>
    </row>
    <row r="13">
      <c r="A13" s="5" t="inlineStr">
        <is>
          <t>UNITS PER BAKE SESSION  (the number that decides everything)</t>
        </is>
      </c>
      <c r="B13" s="6" t="n"/>
      <c r="C13" s="6" t="n"/>
      <c r="D13" s="6" t="n"/>
      <c r="E13" s="6" t="n"/>
      <c r="F13" s="6" t="n"/>
      <c r="G13" s="6" t="n"/>
      <c r="H13" s="6" t="n"/>
    </row>
    <row r="14" ht="28" customHeight="1">
      <c r="A14" s="15" t="inlineStr">
        <is>
          <t>SKUs</t>
        </is>
      </c>
      <c r="B14" s="15" t="inlineStr">
        <is>
          <t>1 acct</t>
        </is>
      </c>
      <c r="C14" s="15" t="inlineStr">
        <is>
          <t>2 accts</t>
        </is>
      </c>
      <c r="D14" s="15" t="inlineStr">
        <is>
          <t>3 accts</t>
        </is>
      </c>
      <c r="E14" s="15" t="inlineStr">
        <is>
          <t>5 accts</t>
        </is>
      </c>
      <c r="F14" s="15" t="inlineStr">
        <is>
          <t>8 accts</t>
        </is>
      </c>
      <c r="G14" s="15" t="inlineStr">
        <is>
          <t>12 accts</t>
        </is>
      </c>
      <c r="H14" s="15" t="inlineStr"/>
    </row>
    <row r="15">
      <c r="A15" s="3" t="inlineStr">
        <is>
          <t>1 SKU</t>
        </is>
      </c>
      <c r="B15" s="25">
        <f>1*B$5*Inputs!$B$12*7/Inputs!$B$32</f>
        <v/>
      </c>
      <c r="C15" s="25">
        <f>1*C$5*Inputs!$B$12*7/Inputs!$B$32</f>
        <v/>
      </c>
      <c r="D15" s="25">
        <f>1*D$5*Inputs!$B$12*7/Inputs!$B$32</f>
        <v/>
      </c>
      <c r="E15" s="25">
        <f>1*E$5*Inputs!$B$12*7/Inputs!$B$32</f>
        <v/>
      </c>
      <c r="F15" s="25">
        <f>1*F$5*Inputs!$B$12*7/Inputs!$B$32</f>
        <v/>
      </c>
      <c r="G15" s="25">
        <f>1*G$5*Inputs!$B$12*7/Inputs!$B$32</f>
        <v/>
      </c>
      <c r="H15" s="2">
        <f>" A full batch is "&amp;TEXT(Inputs!$B$24,"0")&amp;" units. Anything not a clean multiple wastes a partial batch's prep and bake time."</f>
        <v/>
      </c>
    </row>
    <row r="16">
      <c r="A16" s="3" t="inlineStr">
        <is>
          <t>2 SKUs</t>
        </is>
      </c>
      <c r="B16" s="25">
        <f>2*B$5*Inputs!$B$12*7/Inputs!$B$32</f>
        <v/>
      </c>
      <c r="C16" s="25">
        <f>2*C$5*Inputs!$B$12*7/Inputs!$B$32</f>
        <v/>
      </c>
      <c r="D16" s="25">
        <f>2*D$5*Inputs!$B$12*7/Inputs!$B$32</f>
        <v/>
      </c>
      <c r="E16" s="25">
        <f>2*E$5*Inputs!$B$12*7/Inputs!$B$32</f>
        <v/>
      </c>
      <c r="F16" s="25">
        <f>2*F$5*Inputs!$B$12*7/Inputs!$B$32</f>
        <v/>
      </c>
      <c r="G16" s="25">
        <f>2*G$5*Inputs!$B$12*7/Inputs!$B$32</f>
        <v/>
      </c>
    </row>
    <row r="17">
      <c r="A17" s="3" t="inlineStr">
        <is>
          <t>3 SKUs</t>
        </is>
      </c>
      <c r="B17" s="25">
        <f>3*B$5*Inputs!$B$12*7/Inputs!$B$32</f>
        <v/>
      </c>
      <c r="C17" s="25">
        <f>3*C$5*Inputs!$B$12*7/Inputs!$B$32</f>
        <v/>
      </c>
      <c r="D17" s="25">
        <f>3*D$5*Inputs!$B$12*7/Inputs!$B$32</f>
        <v/>
      </c>
      <c r="E17" s="25">
        <f>3*E$5*Inputs!$B$12*7/Inputs!$B$32</f>
        <v/>
      </c>
      <c r="F17" s="25">
        <f>3*F$5*Inputs!$B$12*7/Inputs!$B$32</f>
        <v/>
      </c>
      <c r="G17" s="25">
        <f>3*G$5*Inputs!$B$12*7/Inputs!$B$32</f>
        <v/>
      </c>
    </row>
    <row r="18">
      <c r="A18" s="3" t="inlineStr">
        <is>
          <t>4 SKUs</t>
        </is>
      </c>
      <c r="B18" s="25">
        <f>4*B$5*Inputs!$B$12*7/Inputs!$B$32</f>
        <v/>
      </c>
      <c r="C18" s="25">
        <f>4*C$5*Inputs!$B$12*7/Inputs!$B$32</f>
        <v/>
      </c>
      <c r="D18" s="25">
        <f>4*D$5*Inputs!$B$12*7/Inputs!$B$32</f>
        <v/>
      </c>
      <c r="E18" s="25">
        <f>4*E$5*Inputs!$B$12*7/Inputs!$B$32</f>
        <v/>
      </c>
      <c r="F18" s="25">
        <f>4*F$5*Inputs!$B$12*7/Inputs!$B$32</f>
        <v/>
      </c>
      <c r="G18" s="25">
        <f>4*G$5*Inputs!$B$12*7/Inputs!$B$32</f>
        <v/>
      </c>
    </row>
    <row r="19">
      <c r="A19" s="3" t="inlineStr">
        <is>
          <t>5 SKUs</t>
        </is>
      </c>
      <c r="B19" s="25">
        <f>5*B$5*Inputs!$B$12*7/Inputs!$B$32</f>
        <v/>
      </c>
      <c r="C19" s="25">
        <f>5*C$5*Inputs!$B$12*7/Inputs!$B$32</f>
        <v/>
      </c>
      <c r="D19" s="25">
        <f>5*D$5*Inputs!$B$12*7/Inputs!$B$32</f>
        <v/>
      </c>
      <c r="E19" s="25">
        <f>5*E$5*Inputs!$B$12*7/Inputs!$B$32</f>
        <v/>
      </c>
      <c r="F19" s="25">
        <f>5*F$5*Inputs!$B$12*7/Inputs!$B$32</f>
        <v/>
      </c>
      <c r="G19" s="25">
        <f>5*G$5*Inputs!$B$12*7/Inputs!$B$32</f>
        <v/>
      </c>
    </row>
    <row r="21">
      <c r="A21" s="5" t="inlineStr">
        <is>
          <t>WHAT HERE &amp; THERE ACTUALLY SELLS   (measured — your competition on that shelf)</t>
        </is>
      </c>
      <c r="B21" s="6" t="n"/>
      <c r="C21" s="6" t="n"/>
      <c r="D21" s="6" t="n"/>
      <c r="E21" s="6" t="n"/>
      <c r="F21" s="6" t="n"/>
      <c r="G21" s="6" t="n"/>
      <c r="H21" s="6" t="n"/>
    </row>
    <row r="22" ht="28" customHeight="1">
      <c r="A22" s="15" t="inlineStr">
        <is>
          <t>Benchmark</t>
        </is>
      </c>
      <c r="B22" s="15" t="inlineStr">
        <is>
          <t>Value</t>
        </is>
      </c>
      <c r="C22" s="15" t="inlineStr"/>
      <c r="D22" s="15" t="inlineStr"/>
      <c r="E22" s="15" t="inlineStr"/>
      <c r="F22" s="15" t="inlineStr"/>
      <c r="G22" s="15" t="inlineStr"/>
      <c r="H22" s="15" t="inlineStr">
        <is>
          <t>Source</t>
        </is>
      </c>
    </row>
    <row r="23">
      <c r="A23" s="16" t="inlineStr">
        <is>
          <t>Your madeleine, units/day at LM</t>
        </is>
      </c>
      <c r="B23" s="4" t="n">
        <v>8.699999999999999</v>
      </c>
      <c r="H23" s="2" t="inlineStr">
        <is>
          <t>Store Sales tab, Aug 1-7 average</t>
        </is>
      </c>
    </row>
    <row r="24">
      <c r="A24" s="16" t="inlineStr">
        <is>
          <t>Total pastry units/day at LM (est)</t>
        </is>
      </c>
      <c r="B24" s="4" t="n">
        <v>84</v>
      </c>
      <c r="H24" s="2" t="inlineStr">
        <is>
          <t>GFS invoice 52 units / 62% GFS share of the mix</t>
        </is>
      </c>
    </row>
    <row r="25">
      <c r="A25" s="16" t="inlineStr">
        <is>
          <t>GFS SKUs on that invoice</t>
        </is>
      </c>
      <c r="B25" s="4" t="n">
        <v>14</v>
      </c>
      <c r="H25" s="2" t="inlineStr">
        <is>
          <t>invoice 1066099707, 07-19-26</t>
        </is>
      </c>
    </row>
    <row r="26">
      <c r="A26" s="16" t="inlineStr">
        <is>
          <t>Average GFS SKU, units/day</t>
        </is>
      </c>
      <c r="B26" s="4" t="n">
        <v>3.7</v>
      </c>
      <c r="H26" s="2" t="inlineStr">
        <is>
          <t>52 units across 14 SKUs</t>
        </is>
      </c>
    </row>
    <row r="27">
      <c r="A27" s="16" t="inlineStr">
        <is>
          <t>Best GFS SKU (ham &amp; gruyere)</t>
        </is>
      </c>
      <c r="B27" s="4" t="n">
        <v>10</v>
      </c>
      <c r="H27" s="2" t="inlineStr">
        <is>
          <t>the ceiling for one SKU at one cafe</t>
        </is>
      </c>
    </row>
    <row r="28">
      <c r="A28" s="16" t="inlineStr">
        <is>
          <t>GFS wholesale price range</t>
        </is>
      </c>
      <c r="B28" s="10" t="n">
        <v>4.35</v>
      </c>
      <c r="H28" s="2" t="inlineStr">
        <is>
          <t>$2.30 cookie to $4.35 ham &amp; gruyere - your price band</t>
        </is>
      </c>
    </row>
    <row r="29">
      <c r="A29" s="16" t="inlineStr">
        <is>
          <t>Your wholesale at 50% of $5</t>
        </is>
      </c>
      <c r="B29" s="10" t="n">
        <v>2.5</v>
      </c>
      <c r="H29" s="2" t="inlineStr">
        <is>
          <t>sits inside that band</t>
        </is>
      </c>
    </row>
    <row r="31">
      <c r="A31" s="2" t="inlineStr">
        <is>
          <t>A single cafe absorbs roughly 3-10 units/day of any one pastry SKU. Five SKUs at one account is therefore ~20-50 units/day total — not enough to fill batches.</t>
        </is>
      </c>
    </row>
    <row r="32">
      <c r="A32" s="2" t="inlineStr">
        <is>
          <t>The same five SKUs across five accounts is 100-250 units/day on the SAME bake sessions. That is where the money is.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3" customWidth="1" min="12" max="12"/>
  </cols>
  <sheetData>
    <row r="1">
      <c r="A1" s="1" t="inlineStr">
        <is>
          <t>CAPACITY — what a filled week is worth</t>
        </is>
      </c>
    </row>
    <row r="2">
      <c r="A2" s="2" t="inlineStr">
        <is>
          <t>Drive the model from HOURS instead of volume. You buy kitchen time by the hour, so the real question is what each bake hour produces and whether it clears $80.</t>
        </is>
      </c>
    </row>
    <row r="3">
      <c r="A3" s="3">
        <f>" "&amp;TEXT(Inputs!$B$32,"0")&amp;" sessions/week · batch yield "&amp;TEXT(Inputs!$B$24,"0")&amp;" · "&amp;TEXT(Inputs!$B$26+Inputs!$B$27,"0")&amp;" min per batch · materials $"&amp;TEXT(Inputs!$B$20,"0.00")&amp;"/unit · time $"&amp;TEXT(Inputs!$B$30,"0")&amp;"/hr"</f>
        <v/>
      </c>
    </row>
    <row r="5">
      <c r="A5" s="5" t="inlineStr">
        <is>
          <t>A · THE HOURLY MATH   (this one block explains every number below)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14" t="inlineStr">
        <is>
          <t>Minutes per batch (prep + bake)</t>
        </is>
      </c>
      <c r="B6" s="8">
        <f>Inputs!$B$26+Inputs!$B$27</f>
        <v/>
      </c>
      <c r="D6" s="2" t="inlineStr">
        <is>
          <t>PREP_MIN + BAKE_MIN</t>
        </is>
      </c>
    </row>
    <row r="7">
      <c r="A7" s="14" t="inlineStr">
        <is>
          <t>Units per batch</t>
        </is>
      </c>
      <c r="B7" s="8">
        <f>Inputs!$B$24</f>
        <v/>
      </c>
      <c r="D7" s="2" t="inlineStr">
        <is>
          <t>BATCH_YIELD</t>
        </is>
      </c>
    </row>
    <row r="8">
      <c r="A8" s="14" t="inlineStr">
        <is>
          <t>Units produced per bake hour</t>
        </is>
      </c>
      <c r="B8" s="8">
        <f>60/$B$6*$B$7</f>
        <v/>
      </c>
      <c r="D8" s="2" t="inlineStr">
        <is>
          <t>setup excluded — the theoretical rate</t>
        </is>
      </c>
    </row>
    <row r="9">
      <c r="A9" s="14" t="inlineStr">
        <is>
          <t>Blended wholesale price</t>
        </is>
      </c>
      <c r="B9" s="12">
        <f>AVERAGE(Items!$C$5:$C$9)*Inputs!$B$14</f>
        <v/>
      </c>
      <c r="D9" s="2" t="inlineStr">
        <is>
          <t>Items tab x Inputs!B14</t>
        </is>
      </c>
    </row>
    <row r="10">
      <c r="A10" s="14" t="inlineStr">
        <is>
          <t>Materials per unit</t>
        </is>
      </c>
      <c r="B10" s="12">
        <f>Inputs!$B$20</f>
        <v/>
      </c>
      <c r="D10" s="2" t="inlineStr">
        <is>
          <t>Flat or Computed per Inputs!B18</t>
        </is>
      </c>
    </row>
    <row r="11">
      <c r="A11" s="14" t="inlineStr">
        <is>
          <t>Contribution per unit</t>
        </is>
      </c>
      <c r="B11" s="12">
        <f>$B$9-$B$10</f>
        <v/>
      </c>
      <c r="D11" s="2" t="inlineStr">
        <is>
          <t>before any time cost</t>
        </is>
      </c>
    </row>
    <row r="12">
      <c r="A12" s="14" t="inlineStr">
        <is>
          <t>Gross contribution per bake hour</t>
        </is>
      </c>
      <c r="B12" s="12">
        <f>$B$8*$B$11</f>
        <v/>
      </c>
      <c r="D12" s="2" t="inlineStr">
        <is>
          <t>what an hour of baking earns</t>
        </is>
      </c>
    </row>
    <row r="13">
      <c r="A13" s="14" t="inlineStr">
        <is>
          <t>Cost of a bake hour</t>
        </is>
      </c>
      <c r="B13" s="12">
        <f>Inputs!$B$30</f>
        <v/>
      </c>
      <c r="D13" s="2" t="inlineStr">
        <is>
          <t>labor + commercial kitchen</t>
        </is>
      </c>
    </row>
    <row r="14">
      <c r="A14" s="3" t="inlineStr">
        <is>
          <t>NET PROFIT PER BAKE HOUR</t>
        </is>
      </c>
      <c r="B14" s="22">
        <f>$B$12-$B$13</f>
        <v/>
      </c>
      <c r="D14" s="2" t="inlineStr">
        <is>
          <t>if this is negative, no schedule fixes it</t>
        </is>
      </c>
    </row>
    <row r="15">
      <c r="A15" s="3">
        <f>IF($B$14&gt;0,"Every additional bake hour adds $"&amp;TEXT($B$14,"0.00")&amp;" of profit. Fill the schedule.","A bake hour LOSES $"&amp;TEXT(-$B$14,"0.00")&amp;". Filling the schedule multiplies the loss — fix yield, rate, or price first.")</f>
        <v/>
      </c>
    </row>
    <row r="17">
      <c r="A17" s="5" t="inlineStr">
        <is>
          <t>B · WEEKLY SCHEDULE SCENARIOS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3" t="inlineStr">
        <is>
          <t>SKUs carried</t>
        </is>
      </c>
      <c r="B18" s="13" t="n">
        <v>5</v>
      </c>
      <c r="C18" s="2" t="inlineStr">
        <is>
          <t>used only for the accounts-needed column</t>
        </is>
      </c>
    </row>
    <row r="19" ht="28" customHeight="1">
      <c r="A19" s="15" t="inlineStr">
        <is>
          <t>Schedule</t>
        </is>
      </c>
      <c r="B19" s="15" t="inlineStr">
        <is>
          <t>Hours/week</t>
        </is>
      </c>
      <c r="C19" s="15" t="inlineStr">
        <is>
          <t>Batches/week</t>
        </is>
      </c>
      <c r="D19" s="15" t="inlineStr">
        <is>
          <t>Units/week</t>
        </is>
      </c>
      <c r="E19" s="15" t="inlineStr">
        <is>
          <t>Units/day</t>
        </is>
      </c>
      <c r="F19" s="15" t="inlineStr">
        <is>
          <t>Revenue/week</t>
        </is>
      </c>
      <c r="G19" s="15" t="inlineStr">
        <is>
          <t>Materials/week</t>
        </is>
      </c>
      <c r="H19" s="15" t="inlineStr">
        <is>
          <t>Time cost/week</t>
        </is>
      </c>
      <c r="I19" s="15" t="inlineStr">
        <is>
          <t>Profit/week</t>
        </is>
      </c>
      <c r="J19" s="15" t="inlineStr">
        <is>
          <t>Profit/year</t>
        </is>
      </c>
      <c r="K19" s="15" t="inlineStr">
        <is>
          <t>$/bake hour</t>
        </is>
      </c>
      <c r="L19" s="15" t="inlineStr">
        <is>
          <t>Accounts needed</t>
        </is>
      </c>
    </row>
    <row r="20">
      <c r="A20" s="24" t="inlineStr">
        <is>
          <t>10 hours</t>
        </is>
      </c>
      <c r="B20" s="31" t="n">
        <v>10</v>
      </c>
      <c r="C20" s="25">
        <f>MAX(0,ROUNDDOWN(($B20*60-Inputs!$B$32*Inputs!$B$25)/$B$6,0))</f>
        <v/>
      </c>
      <c r="D20" s="25">
        <f>$C20*Inputs!$B$24</f>
        <v/>
      </c>
      <c r="E20" s="25">
        <f>$D20/7</f>
        <v/>
      </c>
      <c r="F20" s="19">
        <f>$D20*$B$9</f>
        <v/>
      </c>
      <c r="G20" s="19">
        <f>$D20*$B$10</f>
        <v/>
      </c>
      <c r="H20" s="19">
        <f>IF(Inputs!$B$21="Yes",$B20*Inputs!$B$30,0)</f>
        <v/>
      </c>
      <c r="I20" s="19">
        <f>$F20-$G20-$H20</f>
        <v/>
      </c>
      <c r="J20" s="26">
        <f>$I20*52</f>
        <v/>
      </c>
      <c r="K20" s="19">
        <f>IFERROR($I20/$B20,0)</f>
        <v/>
      </c>
      <c r="L20" s="25">
        <f>IFERROR($E20/($B$18*Inputs!$B$12),0)</f>
        <v/>
      </c>
    </row>
    <row r="21">
      <c r="A21" s="24" t="inlineStr">
        <is>
          <t>20 hours</t>
        </is>
      </c>
      <c r="B21" s="31" t="n">
        <v>20</v>
      </c>
      <c r="C21" s="25">
        <f>MAX(0,ROUNDDOWN(($B21*60-Inputs!$B$32*Inputs!$B$25)/$B$6,0))</f>
        <v/>
      </c>
      <c r="D21" s="25">
        <f>$C21*Inputs!$B$24</f>
        <v/>
      </c>
      <c r="E21" s="25">
        <f>$D21/7</f>
        <v/>
      </c>
      <c r="F21" s="19">
        <f>$D21*$B$9</f>
        <v/>
      </c>
      <c r="G21" s="19">
        <f>$D21*$B$10</f>
        <v/>
      </c>
      <c r="H21" s="19">
        <f>IF(Inputs!$B$21="Yes",$B21*Inputs!$B$30,0)</f>
        <v/>
      </c>
      <c r="I21" s="19">
        <f>$F21-$G21-$H21</f>
        <v/>
      </c>
      <c r="J21" s="26">
        <f>$I21*52</f>
        <v/>
      </c>
      <c r="K21" s="19">
        <f>IFERROR($I21/$B21,0)</f>
        <v/>
      </c>
      <c r="L21" s="25">
        <f>IFERROR($E21/($B$18*Inputs!$B$12),0)</f>
        <v/>
      </c>
    </row>
    <row r="22">
      <c r="A22" s="24" t="inlineStr">
        <is>
          <t>30 hours</t>
        </is>
      </c>
      <c r="B22" s="31" t="n">
        <v>30</v>
      </c>
      <c r="C22" s="25">
        <f>MAX(0,ROUNDDOWN(($B22*60-Inputs!$B$32*Inputs!$B$25)/$B$6,0))</f>
        <v/>
      </c>
      <c r="D22" s="25">
        <f>$C22*Inputs!$B$24</f>
        <v/>
      </c>
      <c r="E22" s="25">
        <f>$D22/7</f>
        <v/>
      </c>
      <c r="F22" s="19">
        <f>$D22*$B$9</f>
        <v/>
      </c>
      <c r="G22" s="19">
        <f>$D22*$B$10</f>
        <v/>
      </c>
      <c r="H22" s="19">
        <f>IF(Inputs!$B$21="Yes",$B22*Inputs!$B$30,0)</f>
        <v/>
      </c>
      <c r="I22" s="19">
        <f>$F22-$G22-$H22</f>
        <v/>
      </c>
      <c r="J22" s="26">
        <f>$I22*52</f>
        <v/>
      </c>
      <c r="K22" s="19">
        <f>IFERROR($I22/$B22,0)</f>
        <v/>
      </c>
      <c r="L22" s="25">
        <f>IFERROR($E22/($B$18*Inputs!$B$12),0)</f>
        <v/>
      </c>
    </row>
    <row r="23">
      <c r="A23" s="24" t="inlineStr">
        <is>
          <t>40 hours  (one full-time baker)</t>
        </is>
      </c>
      <c r="B23" s="31" t="n">
        <v>40</v>
      </c>
      <c r="C23" s="25">
        <f>MAX(0,ROUNDDOWN(($B23*60-Inputs!$B$32*Inputs!$B$25)/$B$6,0))</f>
        <v/>
      </c>
      <c r="D23" s="25">
        <f>$C23*Inputs!$B$24</f>
        <v/>
      </c>
      <c r="E23" s="25">
        <f>$D23/7</f>
        <v/>
      </c>
      <c r="F23" s="19">
        <f>$D23*$B$9</f>
        <v/>
      </c>
      <c r="G23" s="19">
        <f>$D23*$B$10</f>
        <v/>
      </c>
      <c r="H23" s="19">
        <f>IF(Inputs!$B$21="Yes",$B23*Inputs!$B$30,0)</f>
        <v/>
      </c>
      <c r="I23" s="19">
        <f>$F23-$G23-$H23</f>
        <v/>
      </c>
      <c r="J23" s="26">
        <f>$I23*52</f>
        <v/>
      </c>
      <c r="K23" s="19">
        <f>IFERROR($I23/$B23,0)</f>
        <v/>
      </c>
      <c r="L23" s="25">
        <f>IFERROR($E23/($B$18*Inputs!$B$12),0)</f>
        <v/>
      </c>
    </row>
    <row r="24">
      <c r="A24" s="24" t="inlineStr">
        <is>
          <t>50 hours</t>
        </is>
      </c>
      <c r="B24" s="31" t="n">
        <v>50</v>
      </c>
      <c r="C24" s="25">
        <f>MAX(0,ROUNDDOWN(($B24*60-Inputs!$B$32*Inputs!$B$25)/$B$6,0))</f>
        <v/>
      </c>
      <c r="D24" s="25">
        <f>$C24*Inputs!$B$24</f>
        <v/>
      </c>
      <c r="E24" s="25">
        <f>$D24/7</f>
        <v/>
      </c>
      <c r="F24" s="19">
        <f>$D24*$B$9</f>
        <v/>
      </c>
      <c r="G24" s="19">
        <f>$D24*$B$10</f>
        <v/>
      </c>
      <c r="H24" s="19">
        <f>IF(Inputs!$B$21="Yes",$B24*Inputs!$B$30,0)</f>
        <v/>
      </c>
      <c r="I24" s="19">
        <f>$F24-$G24-$H24</f>
        <v/>
      </c>
      <c r="J24" s="26">
        <f>$I24*52</f>
        <v/>
      </c>
      <c r="K24" s="19">
        <f>IFERROR($I24/$B24,0)</f>
        <v/>
      </c>
      <c r="L24" s="25">
        <f>IFERROR($E24/($B$18*Inputs!$B$12),0)</f>
        <v/>
      </c>
    </row>
    <row r="25">
      <c r="A25" s="24" t="inlineStr">
        <is>
          <t>60 hours</t>
        </is>
      </c>
      <c r="B25" s="31" t="n">
        <v>60</v>
      </c>
      <c r="C25" s="25">
        <f>MAX(0,ROUNDDOWN(($B25*60-Inputs!$B$32*Inputs!$B$25)/$B$6,0))</f>
        <v/>
      </c>
      <c r="D25" s="25">
        <f>$C25*Inputs!$B$24</f>
        <v/>
      </c>
      <c r="E25" s="25">
        <f>$D25/7</f>
        <v/>
      </c>
      <c r="F25" s="19">
        <f>$D25*$B$9</f>
        <v/>
      </c>
      <c r="G25" s="19">
        <f>$D25*$B$10</f>
        <v/>
      </c>
      <c r="H25" s="19">
        <f>IF(Inputs!$B$21="Yes",$B25*Inputs!$B$30,0)</f>
        <v/>
      </c>
      <c r="I25" s="19">
        <f>$F25-$G25-$H25</f>
        <v/>
      </c>
      <c r="J25" s="26">
        <f>$I25*52</f>
        <v/>
      </c>
      <c r="K25" s="19">
        <f>IFERROR($I25/$B25,0)</f>
        <v/>
      </c>
      <c r="L25" s="25">
        <f>IFERROR($E25/($B$18*Inputs!$B$12),0)</f>
        <v/>
      </c>
    </row>
    <row r="26">
      <c r="A26" s="24" t="inlineStr">
        <is>
          <t>80 hours  (two bakers)</t>
        </is>
      </c>
      <c r="B26" s="31" t="n">
        <v>80</v>
      </c>
      <c r="C26" s="25">
        <f>MAX(0,ROUNDDOWN(($B26*60-Inputs!$B$32*Inputs!$B$25)/$B$6,0))</f>
        <v/>
      </c>
      <c r="D26" s="25">
        <f>$C26*Inputs!$B$24</f>
        <v/>
      </c>
      <c r="E26" s="25">
        <f>$D26/7</f>
        <v/>
      </c>
      <c r="F26" s="19">
        <f>$D26*$B$9</f>
        <v/>
      </c>
      <c r="G26" s="19">
        <f>$D26*$B$10</f>
        <v/>
      </c>
      <c r="H26" s="19">
        <f>IF(Inputs!$B$21="Yes",$B26*Inputs!$B$30,0)</f>
        <v/>
      </c>
      <c r="I26" s="19">
        <f>$F26-$G26-$H26</f>
        <v/>
      </c>
      <c r="J26" s="26">
        <f>$I26*52</f>
        <v/>
      </c>
      <c r="K26" s="19">
        <f>IFERROR($I26/$B26,0)</f>
        <v/>
      </c>
      <c r="L26" s="25">
        <f>IFERROR($E26/($B$18*Inputs!$B$12),0)</f>
        <v/>
      </c>
    </row>
    <row r="27">
      <c r="A27" s="24" t="inlineStr">
        <is>
          <t>100 hours</t>
        </is>
      </c>
      <c r="B27" s="31" t="n">
        <v>100</v>
      </c>
      <c r="C27" s="25">
        <f>MAX(0,ROUNDDOWN(($B27*60-Inputs!$B$32*Inputs!$B$25)/$B$6,0))</f>
        <v/>
      </c>
      <c r="D27" s="25">
        <f>$C27*Inputs!$B$24</f>
        <v/>
      </c>
      <c r="E27" s="25">
        <f>$D27/7</f>
        <v/>
      </c>
      <c r="F27" s="19">
        <f>$D27*$B$9</f>
        <v/>
      </c>
      <c r="G27" s="19">
        <f>$D27*$B$10</f>
        <v/>
      </c>
      <c r="H27" s="19">
        <f>IF(Inputs!$B$21="Yes",$B27*Inputs!$B$30,0)</f>
        <v/>
      </c>
      <c r="I27" s="19">
        <f>$F27-$G27-$H27</f>
        <v/>
      </c>
      <c r="J27" s="26">
        <f>$I27*52</f>
        <v/>
      </c>
      <c r="K27" s="19">
        <f>IFERROR($I27/$B27,0)</f>
        <v/>
      </c>
      <c r="L27" s="25">
        <f>IFERROR($E27/($B$18*Inputs!$B$12),0)</f>
        <v/>
      </c>
    </row>
    <row r="29">
      <c r="A29" s="2">
        <f>"Accounts needed = units/day divided by ("&amp;TEXT($B$18,"0")&amp;" SKUs x "&amp;TEXT(Inputs!$B$12,"0")&amp;" units/day per SKU per account). Production is worthless if nobody is buying it."</f>
        <v/>
      </c>
    </row>
    <row r="30">
      <c r="A30" s="2" t="inlineStr">
        <is>
          <t>Past 40 hrs/week you are buying a second baker and probably a second oven. The model just keeps charging $/hr — it does not know you are tired.</t>
        </is>
      </c>
    </row>
    <row r="31">
      <c r="A31" s="2" t="inlineStr">
        <is>
          <t>Setup is charged once per session per week, not per hour, so longer sessions amortise it away. That is why $/bake hour improves with hours.</t>
        </is>
      </c>
    </row>
    <row r="33">
      <c r="A33" s="5" t="inlineStr">
        <is>
          <t>C · THE SAME SCHEDULE AT DIFFERENT BATCH YIELDS   (profit/year)</t>
        </is>
      </c>
      <c r="B33" s="34" t="n">
        <v>20</v>
      </c>
      <c r="C33" s="34" t="n">
        <v>30</v>
      </c>
      <c r="D33" s="34" t="n">
        <v>40</v>
      </c>
      <c r="E33" s="34" t="n">
        <v>60</v>
      </c>
      <c r="F33" s="34" t="n">
        <v>80</v>
      </c>
      <c r="G33" s="6" t="n"/>
      <c r="H33" s="6" t="n"/>
      <c r="I33" s="6" t="n"/>
      <c r="J33" s="6" t="n"/>
      <c r="K33" s="6" t="n"/>
      <c r="L33" s="6" t="n"/>
    </row>
    <row r="34" ht="28" customHeight="1">
      <c r="A34" s="15" t="inlineStr">
        <is>
          <t>Hours/week</t>
        </is>
      </c>
      <c r="B34" s="15" t="inlineStr">
        <is>
          <t>Yield 20</t>
        </is>
      </c>
      <c r="C34" s="15" t="inlineStr">
        <is>
          <t>Yield 30</t>
        </is>
      </c>
      <c r="D34" s="15" t="inlineStr">
        <is>
          <t>Yield 40</t>
        </is>
      </c>
      <c r="E34" s="15" t="inlineStr">
        <is>
          <t>Yield 60</t>
        </is>
      </c>
      <c r="F34" s="15" t="inlineStr">
        <is>
          <t>Yield 80</t>
        </is>
      </c>
      <c r="G34" s="15" t="inlineStr"/>
      <c r="H34" s="15" t="inlineStr"/>
      <c r="I34" s="15" t="inlineStr"/>
      <c r="J34" s="15" t="inlineStr"/>
      <c r="K34" s="15" t="inlineStr"/>
      <c r="L34" s="15" t="inlineStr"/>
    </row>
    <row r="35">
      <c r="A35" s="4" t="n">
        <v>10</v>
      </c>
      <c r="B35" s="26">
        <f>(MAX(0,ROUNDDOWN(($A35*60-Inputs!$B$32*Inputs!$B$25)/$B$6,0))*B$33*$B$9-MAX(0,ROUNDDOWN(($A35*60-Inputs!$B$32*Inputs!$B$25)/$B$6,0))*B$33*$B$10-IF(Inputs!$B$21="Yes",$A35*Inputs!$B$30,0))*52</f>
        <v/>
      </c>
      <c r="C35" s="26">
        <f>(MAX(0,ROUNDDOWN(($A35*60-Inputs!$B$32*Inputs!$B$25)/$B$6,0))*C$33*$B$9-MAX(0,ROUNDDOWN(($A35*60-Inputs!$B$32*Inputs!$B$25)/$B$6,0))*C$33*$B$10-IF(Inputs!$B$21="Yes",$A35*Inputs!$B$30,0))*52</f>
        <v/>
      </c>
      <c r="D35" s="26">
        <f>(MAX(0,ROUNDDOWN(($A35*60-Inputs!$B$32*Inputs!$B$25)/$B$6,0))*D$33*$B$9-MAX(0,ROUNDDOWN(($A35*60-Inputs!$B$32*Inputs!$B$25)/$B$6,0))*D$33*$B$10-IF(Inputs!$B$21="Yes",$A35*Inputs!$B$30,0))*52</f>
        <v/>
      </c>
      <c r="E35" s="26">
        <f>(MAX(0,ROUNDDOWN(($A35*60-Inputs!$B$32*Inputs!$B$25)/$B$6,0))*E$33*$B$9-MAX(0,ROUNDDOWN(($A35*60-Inputs!$B$32*Inputs!$B$25)/$B$6,0))*E$33*$B$10-IF(Inputs!$B$21="Yes",$A35*Inputs!$B$30,0))*52</f>
        <v/>
      </c>
      <c r="F35" s="26">
        <f>(MAX(0,ROUNDDOWN(($A35*60-Inputs!$B$32*Inputs!$B$25)/$B$6,0))*F$33*$B$9-MAX(0,ROUNDDOWN(($A35*60-Inputs!$B$32*Inputs!$B$25)/$B$6,0))*F$33*$B$10-IF(Inputs!$B$21="Yes",$A35*Inputs!$B$30,0))*52</f>
        <v/>
      </c>
    </row>
    <row r="36">
      <c r="A36" s="4" t="n">
        <v>20</v>
      </c>
      <c r="B36" s="26">
        <f>(MAX(0,ROUNDDOWN(($A36*60-Inputs!$B$32*Inputs!$B$25)/$B$6,0))*B$33*$B$9-MAX(0,ROUNDDOWN(($A36*60-Inputs!$B$32*Inputs!$B$25)/$B$6,0))*B$33*$B$10-IF(Inputs!$B$21="Yes",$A36*Inputs!$B$30,0))*52</f>
        <v/>
      </c>
      <c r="C36" s="26">
        <f>(MAX(0,ROUNDDOWN(($A36*60-Inputs!$B$32*Inputs!$B$25)/$B$6,0))*C$33*$B$9-MAX(0,ROUNDDOWN(($A36*60-Inputs!$B$32*Inputs!$B$25)/$B$6,0))*C$33*$B$10-IF(Inputs!$B$21="Yes",$A36*Inputs!$B$30,0))*52</f>
        <v/>
      </c>
      <c r="D36" s="26">
        <f>(MAX(0,ROUNDDOWN(($A36*60-Inputs!$B$32*Inputs!$B$25)/$B$6,0))*D$33*$B$9-MAX(0,ROUNDDOWN(($A36*60-Inputs!$B$32*Inputs!$B$25)/$B$6,0))*D$33*$B$10-IF(Inputs!$B$21="Yes",$A36*Inputs!$B$30,0))*52</f>
        <v/>
      </c>
      <c r="E36" s="26">
        <f>(MAX(0,ROUNDDOWN(($A36*60-Inputs!$B$32*Inputs!$B$25)/$B$6,0))*E$33*$B$9-MAX(0,ROUNDDOWN(($A36*60-Inputs!$B$32*Inputs!$B$25)/$B$6,0))*E$33*$B$10-IF(Inputs!$B$21="Yes",$A36*Inputs!$B$30,0))*52</f>
        <v/>
      </c>
      <c r="F36" s="26">
        <f>(MAX(0,ROUNDDOWN(($A36*60-Inputs!$B$32*Inputs!$B$25)/$B$6,0))*F$33*$B$9-MAX(0,ROUNDDOWN(($A36*60-Inputs!$B$32*Inputs!$B$25)/$B$6,0))*F$33*$B$10-IF(Inputs!$B$21="Yes",$A36*Inputs!$B$30,0))*52</f>
        <v/>
      </c>
    </row>
    <row r="37">
      <c r="A37" s="4" t="n">
        <v>30</v>
      </c>
      <c r="B37" s="26">
        <f>(MAX(0,ROUNDDOWN(($A37*60-Inputs!$B$32*Inputs!$B$25)/$B$6,0))*B$33*$B$9-MAX(0,ROUNDDOWN(($A37*60-Inputs!$B$32*Inputs!$B$25)/$B$6,0))*B$33*$B$10-IF(Inputs!$B$21="Yes",$A37*Inputs!$B$30,0))*52</f>
        <v/>
      </c>
      <c r="C37" s="26">
        <f>(MAX(0,ROUNDDOWN(($A37*60-Inputs!$B$32*Inputs!$B$25)/$B$6,0))*C$33*$B$9-MAX(0,ROUNDDOWN(($A37*60-Inputs!$B$32*Inputs!$B$25)/$B$6,0))*C$33*$B$10-IF(Inputs!$B$21="Yes",$A37*Inputs!$B$30,0))*52</f>
        <v/>
      </c>
      <c r="D37" s="26">
        <f>(MAX(0,ROUNDDOWN(($A37*60-Inputs!$B$32*Inputs!$B$25)/$B$6,0))*D$33*$B$9-MAX(0,ROUNDDOWN(($A37*60-Inputs!$B$32*Inputs!$B$25)/$B$6,0))*D$33*$B$10-IF(Inputs!$B$21="Yes",$A37*Inputs!$B$30,0))*52</f>
        <v/>
      </c>
      <c r="E37" s="26">
        <f>(MAX(0,ROUNDDOWN(($A37*60-Inputs!$B$32*Inputs!$B$25)/$B$6,0))*E$33*$B$9-MAX(0,ROUNDDOWN(($A37*60-Inputs!$B$32*Inputs!$B$25)/$B$6,0))*E$33*$B$10-IF(Inputs!$B$21="Yes",$A37*Inputs!$B$30,0))*52</f>
        <v/>
      </c>
      <c r="F37" s="26">
        <f>(MAX(0,ROUNDDOWN(($A37*60-Inputs!$B$32*Inputs!$B$25)/$B$6,0))*F$33*$B$9-MAX(0,ROUNDDOWN(($A37*60-Inputs!$B$32*Inputs!$B$25)/$B$6,0))*F$33*$B$10-IF(Inputs!$B$21="Yes",$A37*Inputs!$B$30,0))*52</f>
        <v/>
      </c>
    </row>
    <row r="38">
      <c r="A38" s="4" t="n">
        <v>40</v>
      </c>
      <c r="B38" s="26">
        <f>(MAX(0,ROUNDDOWN(($A38*60-Inputs!$B$32*Inputs!$B$25)/$B$6,0))*B$33*$B$9-MAX(0,ROUNDDOWN(($A38*60-Inputs!$B$32*Inputs!$B$25)/$B$6,0))*B$33*$B$10-IF(Inputs!$B$21="Yes",$A38*Inputs!$B$30,0))*52</f>
        <v/>
      </c>
      <c r="C38" s="26">
        <f>(MAX(0,ROUNDDOWN(($A38*60-Inputs!$B$32*Inputs!$B$25)/$B$6,0))*C$33*$B$9-MAX(0,ROUNDDOWN(($A38*60-Inputs!$B$32*Inputs!$B$25)/$B$6,0))*C$33*$B$10-IF(Inputs!$B$21="Yes",$A38*Inputs!$B$30,0))*52</f>
        <v/>
      </c>
      <c r="D38" s="26">
        <f>(MAX(0,ROUNDDOWN(($A38*60-Inputs!$B$32*Inputs!$B$25)/$B$6,0))*D$33*$B$9-MAX(0,ROUNDDOWN(($A38*60-Inputs!$B$32*Inputs!$B$25)/$B$6,0))*D$33*$B$10-IF(Inputs!$B$21="Yes",$A38*Inputs!$B$30,0))*52</f>
        <v/>
      </c>
      <c r="E38" s="26">
        <f>(MAX(0,ROUNDDOWN(($A38*60-Inputs!$B$32*Inputs!$B$25)/$B$6,0))*E$33*$B$9-MAX(0,ROUNDDOWN(($A38*60-Inputs!$B$32*Inputs!$B$25)/$B$6,0))*E$33*$B$10-IF(Inputs!$B$21="Yes",$A38*Inputs!$B$30,0))*52</f>
        <v/>
      </c>
      <c r="F38" s="26">
        <f>(MAX(0,ROUNDDOWN(($A38*60-Inputs!$B$32*Inputs!$B$25)/$B$6,0))*F$33*$B$9-MAX(0,ROUNDDOWN(($A38*60-Inputs!$B$32*Inputs!$B$25)/$B$6,0))*F$33*$B$10-IF(Inputs!$B$21="Yes",$A38*Inputs!$B$30,0))*52</f>
        <v/>
      </c>
    </row>
    <row r="39">
      <c r="A39" s="4" t="n">
        <v>50</v>
      </c>
      <c r="B39" s="26">
        <f>(MAX(0,ROUNDDOWN(($A39*60-Inputs!$B$32*Inputs!$B$25)/$B$6,0))*B$33*$B$9-MAX(0,ROUNDDOWN(($A39*60-Inputs!$B$32*Inputs!$B$25)/$B$6,0))*B$33*$B$10-IF(Inputs!$B$21="Yes",$A39*Inputs!$B$30,0))*52</f>
        <v/>
      </c>
      <c r="C39" s="26">
        <f>(MAX(0,ROUNDDOWN(($A39*60-Inputs!$B$32*Inputs!$B$25)/$B$6,0))*C$33*$B$9-MAX(0,ROUNDDOWN(($A39*60-Inputs!$B$32*Inputs!$B$25)/$B$6,0))*C$33*$B$10-IF(Inputs!$B$21="Yes",$A39*Inputs!$B$30,0))*52</f>
        <v/>
      </c>
      <c r="D39" s="26">
        <f>(MAX(0,ROUNDDOWN(($A39*60-Inputs!$B$32*Inputs!$B$25)/$B$6,0))*D$33*$B$9-MAX(0,ROUNDDOWN(($A39*60-Inputs!$B$32*Inputs!$B$25)/$B$6,0))*D$33*$B$10-IF(Inputs!$B$21="Yes",$A39*Inputs!$B$30,0))*52</f>
        <v/>
      </c>
      <c r="E39" s="26">
        <f>(MAX(0,ROUNDDOWN(($A39*60-Inputs!$B$32*Inputs!$B$25)/$B$6,0))*E$33*$B$9-MAX(0,ROUNDDOWN(($A39*60-Inputs!$B$32*Inputs!$B$25)/$B$6,0))*E$33*$B$10-IF(Inputs!$B$21="Yes",$A39*Inputs!$B$30,0))*52</f>
        <v/>
      </c>
      <c r="F39" s="26">
        <f>(MAX(0,ROUNDDOWN(($A39*60-Inputs!$B$32*Inputs!$B$25)/$B$6,0))*F$33*$B$9-MAX(0,ROUNDDOWN(($A39*60-Inputs!$B$32*Inputs!$B$25)/$B$6,0))*F$33*$B$10-IF(Inputs!$B$21="Yes",$A39*Inputs!$B$30,0))*52</f>
        <v/>
      </c>
    </row>
    <row r="40">
      <c r="A40" s="4" t="n">
        <v>60</v>
      </c>
      <c r="B40" s="26">
        <f>(MAX(0,ROUNDDOWN(($A40*60-Inputs!$B$32*Inputs!$B$25)/$B$6,0))*B$33*$B$9-MAX(0,ROUNDDOWN(($A40*60-Inputs!$B$32*Inputs!$B$25)/$B$6,0))*B$33*$B$10-IF(Inputs!$B$21="Yes",$A40*Inputs!$B$30,0))*52</f>
        <v/>
      </c>
      <c r="C40" s="26">
        <f>(MAX(0,ROUNDDOWN(($A40*60-Inputs!$B$32*Inputs!$B$25)/$B$6,0))*C$33*$B$9-MAX(0,ROUNDDOWN(($A40*60-Inputs!$B$32*Inputs!$B$25)/$B$6,0))*C$33*$B$10-IF(Inputs!$B$21="Yes",$A40*Inputs!$B$30,0))*52</f>
        <v/>
      </c>
      <c r="D40" s="26">
        <f>(MAX(0,ROUNDDOWN(($A40*60-Inputs!$B$32*Inputs!$B$25)/$B$6,0))*D$33*$B$9-MAX(0,ROUNDDOWN(($A40*60-Inputs!$B$32*Inputs!$B$25)/$B$6,0))*D$33*$B$10-IF(Inputs!$B$21="Yes",$A40*Inputs!$B$30,0))*52</f>
        <v/>
      </c>
      <c r="E40" s="26">
        <f>(MAX(0,ROUNDDOWN(($A40*60-Inputs!$B$32*Inputs!$B$25)/$B$6,0))*E$33*$B$9-MAX(0,ROUNDDOWN(($A40*60-Inputs!$B$32*Inputs!$B$25)/$B$6,0))*E$33*$B$10-IF(Inputs!$B$21="Yes",$A40*Inputs!$B$30,0))*52</f>
        <v/>
      </c>
      <c r="F40" s="26">
        <f>(MAX(0,ROUNDDOWN(($A40*60-Inputs!$B$32*Inputs!$B$25)/$B$6,0))*F$33*$B$9-MAX(0,ROUNDDOWN(($A40*60-Inputs!$B$32*Inputs!$B$25)/$B$6,0))*F$33*$B$10-IF(Inputs!$B$21="Yes",$A40*Inputs!$B$30,0))*52</f>
        <v/>
      </c>
    </row>
    <row r="41">
      <c r="A41" s="4" t="n">
        <v>80</v>
      </c>
      <c r="B41" s="26">
        <f>(MAX(0,ROUNDDOWN(($A41*60-Inputs!$B$32*Inputs!$B$25)/$B$6,0))*B$33*$B$9-MAX(0,ROUNDDOWN(($A41*60-Inputs!$B$32*Inputs!$B$25)/$B$6,0))*B$33*$B$10-IF(Inputs!$B$21="Yes",$A41*Inputs!$B$30,0))*52</f>
        <v/>
      </c>
      <c r="C41" s="26">
        <f>(MAX(0,ROUNDDOWN(($A41*60-Inputs!$B$32*Inputs!$B$25)/$B$6,0))*C$33*$B$9-MAX(0,ROUNDDOWN(($A41*60-Inputs!$B$32*Inputs!$B$25)/$B$6,0))*C$33*$B$10-IF(Inputs!$B$21="Yes",$A41*Inputs!$B$30,0))*52</f>
        <v/>
      </c>
      <c r="D41" s="26">
        <f>(MAX(0,ROUNDDOWN(($A41*60-Inputs!$B$32*Inputs!$B$25)/$B$6,0))*D$33*$B$9-MAX(0,ROUNDDOWN(($A41*60-Inputs!$B$32*Inputs!$B$25)/$B$6,0))*D$33*$B$10-IF(Inputs!$B$21="Yes",$A41*Inputs!$B$30,0))*52</f>
        <v/>
      </c>
      <c r="E41" s="26">
        <f>(MAX(0,ROUNDDOWN(($A41*60-Inputs!$B$32*Inputs!$B$25)/$B$6,0))*E$33*$B$9-MAX(0,ROUNDDOWN(($A41*60-Inputs!$B$32*Inputs!$B$25)/$B$6,0))*E$33*$B$10-IF(Inputs!$B$21="Yes",$A41*Inputs!$B$30,0))*52</f>
        <v/>
      </c>
      <c r="F41" s="26">
        <f>(MAX(0,ROUNDDOWN(($A41*60-Inputs!$B$32*Inputs!$B$25)/$B$6,0))*F$33*$B$9-MAX(0,ROUNDDOWN(($A41*60-Inputs!$B$32*Inputs!$B$25)/$B$6,0))*F$33*$B$10-IF(Inputs!$B$21="Yes",$A41*Inputs!$B$30,0))*52</f>
        <v/>
      </c>
    </row>
    <row r="42">
      <c r="A42" s="4" t="n">
        <v>100</v>
      </c>
      <c r="B42" s="26">
        <f>(MAX(0,ROUNDDOWN(($A42*60-Inputs!$B$32*Inputs!$B$25)/$B$6,0))*B$33*$B$9-MAX(0,ROUNDDOWN(($A42*60-Inputs!$B$32*Inputs!$B$25)/$B$6,0))*B$33*$B$10-IF(Inputs!$B$21="Yes",$A42*Inputs!$B$30,0))*52</f>
        <v/>
      </c>
      <c r="C42" s="26">
        <f>(MAX(0,ROUNDDOWN(($A42*60-Inputs!$B$32*Inputs!$B$25)/$B$6,0))*C$33*$B$9-MAX(0,ROUNDDOWN(($A42*60-Inputs!$B$32*Inputs!$B$25)/$B$6,0))*C$33*$B$10-IF(Inputs!$B$21="Yes",$A42*Inputs!$B$30,0))*52</f>
        <v/>
      </c>
      <c r="D42" s="26">
        <f>(MAX(0,ROUNDDOWN(($A42*60-Inputs!$B$32*Inputs!$B$25)/$B$6,0))*D$33*$B$9-MAX(0,ROUNDDOWN(($A42*60-Inputs!$B$32*Inputs!$B$25)/$B$6,0))*D$33*$B$10-IF(Inputs!$B$21="Yes",$A42*Inputs!$B$30,0))*52</f>
        <v/>
      </c>
      <c r="E42" s="26">
        <f>(MAX(0,ROUNDDOWN(($A42*60-Inputs!$B$32*Inputs!$B$25)/$B$6,0))*E$33*$B$9-MAX(0,ROUNDDOWN(($A42*60-Inputs!$B$32*Inputs!$B$25)/$B$6,0))*E$33*$B$10-IF(Inputs!$B$21="Yes",$A42*Inputs!$B$30,0))*52</f>
        <v/>
      </c>
      <c r="F42" s="26">
        <f>(MAX(0,ROUNDDOWN(($A42*60-Inputs!$B$32*Inputs!$B$25)/$B$6,0))*F$33*$B$9-MAX(0,ROUNDDOWN(($A42*60-Inputs!$B$32*Inputs!$B$25)/$B$6,0))*F$33*$B$10-IF(Inputs!$B$21="Yes",$A42*Inputs!$B$30,0))*52</f>
        <v/>
      </c>
    </row>
    <row r="44">
      <c r="A44" s="2" t="inlineStr">
        <is>
          <t>Batch yield is the whole business. At 20 per batch you produce ~41 units an hour; at 40 you produce ~83 for the same $80.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2026-09-07T19:15:57Z</dcterms:created>
  <dcterms:modified xsi:type="dcterms:W3CDTF">2026-09-07T19:15:57Z</dcterms:modified>
</cp:coreProperties>
</file>